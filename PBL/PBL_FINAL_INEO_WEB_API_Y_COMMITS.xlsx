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cf4e78a19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94ac57a1d4e486f"/>
    <x:sheet xmlns:r="http://schemas.openxmlformats.org/officeDocument/2006/relationships" name="Trazabilidad" sheetId="2" r:id="R75e676306d504934"/>
    <x:sheet xmlns:r="http://schemas.openxmlformats.org/officeDocument/2006/relationships" name="Entregables" sheetId="3" r:id="R5932ce35cce1402d"/>
    <x:sheet xmlns:r="http://schemas.openxmlformats.org/officeDocument/2006/relationships" name="Commits" sheetId="4" r:id="R6c0c420185bf44b7"/>
    <x:sheet xmlns:r="http://schemas.openxmlformats.org/officeDocument/2006/relationships" name="Cierre" sheetId="5" r:id="Rc8b6405d1fb0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i/>
      <x:sz val="11"/>
      <x:color rgb="FF9A6700"/>
      <x:name val="Carlito"/>
    </x:font>
    <x:font>
      <x:b/>
      <x:sz val="18"/>
      <x:color rgb="FF243447"/>
      <x:name val="Aptos"/>
    </x:font>
    <x:font>
      <x:i/>
      <x:sz val="10"/>
      <x:color rgb="FF243447"/>
      <x:name val="Aptos"/>
    </x:font>
    <x:font>
      <x:sz val="11"/>
      <x:color rgb="FF243447"/>
      <x:name val="Aptos"/>
    </x:font>
    <x:font>
      <x:b/>
      <x:sz val="11"/>
      <x:color rgb="FF243447"/>
      <x:name val="Aptos"/>
    </x:font>
    <x:font>
      <x:sz val="10"/>
      <x:color rgb="FF243447"/>
      <x:name val="Aptos"/>
    </x:font>
    <x:font>
      <x:i/>
      <x:sz val="11"/>
      <x:color rgb="FF243447"/>
      <x:name val="Aptos"/>
    </x:font>
    <x:font>
      <x:b/>
      <x:sz val="18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AF3FB"/>
      </x:patternFill>
    </x:fill>
    <x:fill>
      <x:patternFill patternType="solid">
        <x:fgColor rgb="FF276FBF"/>
      </x:patternFill>
    </x:fill>
    <x:fill>
      <x:patternFill patternType="solid">
        <x:fgColor rgb="FFFFF4D6"/>
      </x:patternFill>
    </x:fill>
    <x:fill>
      <x:patternFill patternType="solid">
        <x:fgColor rgb="FFFFFBEA"/>
      </x:patternFill>
    </x:fill>
  </x:fills>
  <x:borders count="7">
    <x:border/>
    <x:border>
      <x:left style="thin">
        <x:color rgb="FF19324D"/>
      </x:left>
      <x:top style="thin">
        <x:color rgb="FF19324D"/>
      </x:top>
      <x:bottom style="thin">
        <x:color rgb="FF19324D"/>
      </x:bottom>
    </x:border>
    <x:border>
      <x:right style="thin">
        <x:color rgb="FF19324D"/>
      </x:right>
      <x:top style="thin">
        <x:color rgb="FF19324D"/>
      </x:top>
      <x:bottom style="thin">
        <x:color rgb="FF19324D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top style="thin">
        <x:color rgb="FF19324D"/>
      </x:top>
      <x:bottom style="thin">
        <x:color rgb="FF19324D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vertical="top" wrapText="1"/>
    </x:xf>
    <x:xf numFmtId="20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20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201" fontId="10" fillId="0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horizontal="center" vertical="center" wrapText="1"/>
    </x:xf>
    <x:xf numFmtId="202" fontId="10" fillId="0" borderId="3" xfId="0" applyNumberFormat="1" applyFont="1" applyFill="1" applyBorder="1" applyAlignment="1">
      <x:alignment vertical="top" wrapText="1"/>
    </x:xf>
    <x:xf numFmtId="202" fontId="10" fillId="0" borderId="4" xfId="0" applyNumberFormat="1" applyFont="1" applyFill="1" applyBorder="1" applyAlignment="1">
      <x:alignment vertical="top" wrapText="1"/>
    </x:xf>
    <x:xf numFmtId="202" fontId="10" fillId="0" borderId="5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0" fillId="6" borderId="3" xfId="0" applyNumberFormat="1" applyFont="1" applyFill="1" applyBorder="1" applyAlignment="1">
      <x:alignment vertical="top" wrapText="1"/>
    </x:xf>
    <x:xf numFmtId="0" fontId="10" fillId="6" borderId="4" xfId="0" applyNumberFormat="1" applyFont="1" applyFill="1" applyBorder="1" applyAlignment="1">
      <x:alignment vertical="top" wrapText="1"/>
    </x:xf>
    <x:xf numFmtId="0" fontId="10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238636"/>
      </x:font>
      <x:fill>
        <x:patternFill patternType="solid">
          <x:bgColor rgb="FFE7F5EC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  <x:dxf>
      <x:font>
        <x:b/>
        <x:color rgb="FF276FBF"/>
      </x:font>
      <x:fill>
        <x:patternFill patternType="solid">
          <x:bgColor rgb="FFEAF3FB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  <x:dxf>
      <x:font>
        <x:b/>
        <x:color rgb="FF238636"/>
      </x:font>
      <x:fill>
        <x:patternFill patternType="solid">
          <x:bgColor rgb="FFE7F5EC"/>
        </x:patternFill>
      </x:fill>
    </x:dxf>
    <x:dxf>
      <x:font>
        <x:b/>
        <x:color rgb="FF238636"/>
      </x:font>
      <x:fill>
        <x:patternFill patternType="solid">
          <x:bgColor rgb="FFE7F5EC"/>
        </x:patternFill>
      </x:fill>
    </x:dxf>
    <x:dxf>
      <x:font>
        <x:color rgb="FF9A67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38636"/>
      </x:font>
      <x:fill>
        <x:patternFill patternType="solid">
          <x:bgColor rgb="FFE7F5EC"/>
        </x:patternFill>
      </x:fill>
    </x:dxf>
    <x:dxf>
      <x:font>
        <x:b/>
        <x:color rgb="FF238636"/>
      </x:font>
      <x:fill>
        <x:patternFill patternType="solid">
          <x:bgColor rgb="FFE7F5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30792e63e48b8" /><Relationship Type="http://schemas.openxmlformats.org/officeDocument/2006/relationships/theme" Target="/xl/theme/theme1.xml" Id="Rc97d9c2e110c4384" /><Relationship Type="http://schemas.openxmlformats.org/officeDocument/2006/relationships/sharedStrings" Target="/xl/sharedStrings.xml" Id="R53f445a4f3d24b96" /><Relationship Type="http://schemas.openxmlformats.org/officeDocument/2006/relationships/worksheet" Target="/xl/worksheets/sheet1.xml" Id="Ra94ac57a1d4e486f" /><Relationship Type="http://schemas.openxmlformats.org/officeDocument/2006/relationships/worksheet" Target="/xl/worksheets/sheet2.xml" Id="R75e676306d504934" /><Relationship Type="http://schemas.openxmlformats.org/officeDocument/2006/relationships/worksheet" Target="/xl/worksheets/sheet3.xml" Id="R5932ce35cce1402d" /><Relationship Type="http://schemas.openxmlformats.org/officeDocument/2006/relationships/worksheet" Target="/xl/worksheets/sheet4.xml" Id="R6c0c420185bf44b7" /><Relationship Type="http://schemas.openxmlformats.org/officeDocument/2006/relationships/worksheet" Target="/xl/worksheets/sheet5.xml" Id="Rc8b6405d1fb0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</x:cols>
  <x:sheetData>
    <x:row r="1" ht="21.600000381469727" hidden="0" customHeight="1">
      <x:c r="A1" s="61" t="str">
        <x:v>INEO — Cierre PBL</x:v>
      </x:c>
      <x:c r="B1" s="45"/>
      <x:c r="C1" s="45"/>
      <x:c r="D1" s="45"/>
      <x:c r="E1" s="45"/>
      <x:c r="F1" s="45"/>
      <x:c r="G1" s="45"/>
      <x:c r="H1" s="45"/>
    </x:row>
    <x:row r="2" ht="15" hidden="0" customHeight="1">
      <x:c r="A2" s="46" t="str">
        <x:v>Control ejecutivo de trazabilidad, entregables y evidencias · Sprint 6 · Responsable: Jesús · 2026-08-14</x:v>
      </x:c>
      <x:c r="B2" s="46"/>
      <x:c r="C2" s="46"/>
      <x:c r="D2" s="46"/>
      <x:c r="E2" s="46"/>
      <x:c r="F2" s="46"/>
      <x:c r="G2" s="46"/>
      <x:c r="H2" s="46"/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</x:row>
    <x:row r="4" ht="15" hidden="0" customHeight="1">
      <x:c r="A4" s="48" t="str">
        <x:v>Indicador</x:v>
      </x:c>
      <x:c r="B4" s="49" t="str">
        <x:v>Resultado</x:v>
      </x:c>
      <x:c r="C4" s="47"/>
      <x:c r="D4" s="47"/>
      <x:c r="E4" s="47"/>
      <x:c r="F4" s="47"/>
      <x:c r="G4" s="47"/>
      <x:c r="H4" s="47"/>
    </x:row>
    <x:row r="5" ht="15" hidden="0" customHeight="1">
      <x:c r="A5" s="50" t="str">
        <x:v>Requisitos trazados</x:v>
      </x:c>
      <x:c r="B5" s="51" t="n">
        <x:f>COUNTA('Trazabilidad'!$A$5:$A$22)</x:f>
        <x:v>18</x:v>
      </x:c>
      <x:c r="C5" s="47"/>
      <x:c r="D5" s="47"/>
      <x:c r="E5" s="47"/>
      <x:c r="F5" s="47"/>
      <x:c r="G5" s="47"/>
      <x:c r="H5" s="47"/>
    </x:row>
    <x:row r="6" ht="15" hidden="0" customHeight="1">
      <x:c r="A6" s="52" t="str">
        <x:v>Entregables del PBL</x:v>
      </x:c>
      <x:c r="B6" s="53" t="n">
        <x:f>COUNTA('Entregables'!$A$5:$A$38)</x:f>
        <x:v>25</x:v>
      </x:c>
      <x:c r="C6" s="47"/>
      <x:c r="D6" s="47"/>
      <x:c r="E6" s="47"/>
      <x:c r="F6" s="47"/>
      <x:c r="G6" s="47"/>
      <x:c r="H6" s="47"/>
    </x:row>
    <x:row r="7" ht="15" hidden="0" customHeight="1">
      <x:c r="A7" s="52" t="str">
        <x:v>Entregables listos</x:v>
      </x:c>
      <x:c r="B7" s="53" t="n">
        <x:f>COUNTIF('Entregables'!$G$5:$G$38,"Listo")</x:f>
        <x:v>21</x:v>
      </x:c>
      <x:c r="C7" s="47"/>
      <x:c r="D7" s="47"/>
      <x:c r="E7" s="47"/>
      <x:c r="F7" s="47"/>
      <x:c r="G7" s="47"/>
      <x:c r="H7" s="47"/>
    </x:row>
    <x:row r="8" ht="24" hidden="0" customHeight="1">
      <x:c r="A8" s="52" t="str">
        <x:v>Evidencias finales validadas</x:v>
      </x:c>
      <x:c r="B8" s="53" t="n">
        <x:f>COUNTIF('Cierre'!$D$5:$D$11,"Validado")</x:f>
        <x:v>1</x:v>
      </x:c>
      <x:c r="C8" s="47"/>
      <x:c r="D8" s="47"/>
      <x:c r="E8" s="47"/>
      <x:c r="F8" s="47"/>
      <x:c r="G8" s="47"/>
      <x:c r="H8" s="47"/>
    </x:row>
    <x:row r="9" ht="15" hidden="0" customHeight="1">
      <x:c r="A9" s="54" t="str">
        <x:v>Avance documental</x:v>
      </x:c>
      <x:c r="B9" s="55" t="n">
        <x:f>IFERROR(B7/B6,0)</x:f>
        <x:v>0.84</x:v>
      </x:c>
      <x:c r="C9" s="47"/>
      <x:c r="D9" s="47"/>
      <x:c r="E9" s="47"/>
      <x:c r="F9" s="47"/>
      <x:c r="G9" s="47"/>
      <x:c r="H9" s="47"/>
    </x:row>
    <x:row r="10" ht="15" hidden="0" customHeight="1">
      <x:c r="A10" s="47"/>
      <x:c r="B10" s="47"/>
      <x:c r="C10" s="47"/>
      <x:c r="D10" s="47"/>
      <x:c r="E10" s="47"/>
      <x:c r="F10" s="47"/>
      <x:c r="G10" s="47"/>
      <x:c r="H10" s="47"/>
    </x:row>
    <x:row r="11" ht="15" hidden="0" customHeight="1">
      <x:c r="A11" s="48" t="str">
        <x:v>Sprint</x:v>
      </x:c>
      <x:c r="B11" s="56" t="str">
        <x:v>Alcance</x:v>
      </x:c>
      <x:c r="C11" s="56" t="str">
        <x:v>API</x:v>
      </x:c>
      <x:c r="D11" s="56" t="str">
        <x:v>Web</x:v>
      </x:c>
      <x:c r="E11" s="56" t="str">
        <x:v>Diseño</x:v>
      </x:c>
      <x:c r="F11" s="56" t="str">
        <x:v>Documentación</x:v>
      </x:c>
      <x:c r="G11" s="56" t="str">
        <x:v>Estado</x:v>
      </x:c>
      <x:c r="H11" s="49" t="str">
        <x:v>Observación</x:v>
      </x:c>
    </x:row>
    <x:row r="12" ht="15" hidden="0" customHeight="1">
      <x:c r="A12" s="57" t="n">
        <x:v>1</x:v>
      </x:c>
      <x:c r="B12" s="50" t="str">
        <x:v>Arquitectura y bases</x:v>
      </x:c>
      <x:c r="C12" s="50" t="str">
        <x:v>Integrado</x:v>
      </x:c>
      <x:c r="D12" s="50" t="str">
        <x:v>Integrado</x:v>
      </x:c>
      <x:c r="E12" s="50" t="str">
        <x:v>Integrado</x:v>
      </x:c>
      <x:c r="F12" s="50" t="str">
        <x:v>Listo</x:v>
      </x:c>
      <x:c r="G12" s="50" t="str">
        <x:v>Cerrado</x:v>
      </x:c>
      <x:c r="H12" s="50" t="str">
        <x:v>MIG-001 y MIG-002</x:v>
      </x:c>
    </x:row>
    <x:row r="13" ht="15" hidden="0" customHeight="1">
      <x:c r="A13" s="58" t="n">
        <x:v>2</x:v>
      </x:c>
      <x:c r="B13" s="52" t="str">
        <x:v>Pacientes y administración</x:v>
      </x:c>
      <x:c r="C13" s="52" t="str">
        <x:v>Integrado</x:v>
      </x:c>
      <x:c r="D13" s="52" t="str">
        <x:v>Integrado</x:v>
      </x:c>
      <x:c r="E13" s="52" t="str">
        <x:v>Validado</x:v>
      </x:c>
      <x:c r="F13" s="52" t="str">
        <x:v>Listo</x:v>
      </x:c>
      <x:c r="G13" s="52" t="str">
        <x:v>Cerrado</x:v>
      </x:c>
      <x:c r="H13" s="52" t="str">
        <x:v>Flujo administrativo</x:v>
      </x:c>
    </x:row>
    <x:row r="14" ht="15" hidden="0" customHeight="1">
      <x:c r="A14" s="58" t="n">
        <x:v>3</x:v>
      </x:c>
      <x:c r="B14" s="52" t="str">
        <x:v>Enfermería</x:v>
      </x:c>
      <x:c r="C14" s="52" t="str">
        <x:v>Integrado</x:v>
      </x:c>
      <x:c r="D14" s="52" t="str">
        <x:v>Integrado</x:v>
      </x:c>
      <x:c r="E14" s="52" t="str">
        <x:v>Validado</x:v>
      </x:c>
      <x:c r="F14" s="52" t="str">
        <x:v>Listo</x:v>
      </x:c>
      <x:c r="G14" s="52" t="str">
        <x:v>Cerrado</x:v>
      </x:c>
      <x:c r="H14" s="52" t="str">
        <x:v>ENF-001 a ENF-009</x:v>
      </x:c>
    </x:row>
    <x:row r="15" ht="15" hidden="0" customHeight="1">
      <x:c r="A15" s="58" t="n">
        <x:v>4</x:v>
      </x:c>
      <x:c r="B15" s="52" t="str">
        <x:v>Médico, estudios y configuración</x:v>
      </x:c>
      <x:c r="C15" s="52" t="str">
        <x:v>Integrado</x:v>
      </x:c>
      <x:c r="D15" s="52" t="str">
        <x:v>Integrado</x:v>
      </x:c>
      <x:c r="E15" s="52" t="str">
        <x:v>Validado</x:v>
      </x:c>
      <x:c r="F15" s="52" t="str">
        <x:v>Listo</x:v>
      </x:c>
      <x:c r="G15" s="52" t="str">
        <x:v>Cerrado</x:v>
      </x:c>
      <x:c r="H15" s="52" t="str">
        <x:v>Incluye respaldo e i18n</x:v>
      </x:c>
    </x:row>
    <x:row r="16" ht="15" hidden="0" customHeight="1">
      <x:c r="A16" s="58" t="n">
        <x:v>5</x:v>
      </x:c>
      <x:c r="B16" s="52" t="str">
        <x:v>Calidad, seguridad y Spark</x:v>
      </x:c>
      <x:c r="C16" s="52" t="str">
        <x:v>Por validar</x:v>
      </x:c>
      <x:c r="D16" s="52" t="str">
        <x:v>Por validar</x:v>
      </x:c>
      <x:c r="E16" s="52" t="str">
        <x:v>Por validar</x:v>
      </x:c>
      <x:c r="F16" s="52" t="str">
        <x:v>Planeado</x:v>
      </x:c>
      <x:c r="G16" s="52" t="str">
        <x:v>En validación</x:v>
      </x:c>
      <x:c r="H16" s="52" t="str">
        <x:v>No declarar Spark terminado sin evidencia</x:v>
      </x:c>
    </x:row>
    <x:row r="17" ht="15" hidden="0" customHeight="1">
      <x:c r="A17" s="59" t="n">
        <x:v>6</x:v>
      </x:c>
      <x:c r="B17" s="54" t="str">
        <x:v>Cierre</x:v>
      </x:c>
      <x:c r="C17" s="54" t="str">
        <x:v>Evidencia</x:v>
      </x:c>
      <x:c r="D17" s="54" t="str">
        <x:v>Evidencia</x:v>
      </x:c>
      <x:c r="E17" s="54" t="str">
        <x:v>Evidencia</x:v>
      </x:c>
      <x:c r="F17" s="54" t="str">
        <x:v>Listo</x:v>
      </x:c>
      <x:c r="G17" s="54" t="str">
        <x:v>En cierre</x:v>
      </x:c>
      <x:c r="H17" s="54" t="str">
        <x:v>Requiere integración final en main</x:v>
      </x:c>
    </x:row>
    <x:row r="18" ht="15" hidden="0" customHeight="1">
      <x:c r="A18" s="47"/>
      <x:c r="B18" s="47"/>
      <x:c r="C18" s="47"/>
      <x:c r="D18" s="47"/>
      <x:c r="E18" s="47"/>
      <x:c r="F18" s="47"/>
      <x:c r="G18" s="47"/>
      <x:c r="H18" s="47"/>
    </x:row>
    <x:row r="19" ht="15" hidden="0" customHeight="1">
      <x:c r="A19" s="60" t="str">
        <x:v>Nota de control: “Listo” significa que el archivo de cierre fue preparado. “Validado” exige evidencia técnica real, revisión e integración en main.</x:v>
      </x:c>
      <x:c r="B19" s="60"/>
      <x:c r="C19" s="60"/>
      <x:c r="D19" s="60"/>
      <x:c r="E19" s="60"/>
      <x:c r="F19" s="60"/>
      <x:c r="G19" s="60"/>
      <x:c r="H19" s="60"/>
    </x:row>
  </x:sheetData>
  <x:mergeCells>
    <x:mergeCell ref="A1:H1"/>
    <x:mergeCell ref="A2:H2"/>
    <x:mergeCell ref="A19:H19"/>
  </x:mergeCells>
  <x:conditionalFormatting sqref="G12:G17">
    <x:cfRule type="containsText" dxfId="0" priority="1" operator="containsText" text="Cerrado"/>
    <x:cfRule type="containsText" dxfId="1" priority="2" operator="containsText" text="validación"/>
    <x:cfRule type="containsText" dxfId="2" priority="3" operator="containsText" text="cierr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9" hidden="0" customWidth="1"/>
    <x:col min="4" max="4" width="29" hidden="0" customWidth="1"/>
    <x:col min="5" max="5" width="38" hidden="0" customWidth="1"/>
    <x:col min="6" max="6" width="34" hidden="0" customWidth="1"/>
    <x:col min="7" max="7" width="22" hidden="0" customWidth="1"/>
    <x:col min="8" max="8" width="20" hidden="0" customWidth="1"/>
  </x:cols>
  <x:sheetData>
    <x:row r="1" ht="21.600000381469727" hidden="0" customHeight="1">
      <x:c r="A1" s="61" t="str">
        <x:v>Matriz de trazabilidad</x:v>
      </x:c>
      <x:c r="B1" s="45"/>
      <x:c r="C1" s="45"/>
      <x:c r="D1" s="45"/>
      <x:c r="E1" s="45"/>
      <x:c r="F1" s="45"/>
      <x:c r="G1" s="45"/>
      <x:c r="H1" s="45"/>
    </x:row>
    <x:row r="2" ht="15" hidden="0" customHeight="1">
      <x:c r="A2" s="46" t="str">
        <x:v>Relación entre requisitos, implementación, documentación, evidencia y criterio verificable.</x:v>
      </x:c>
      <x:c r="B2" s="46"/>
      <x:c r="C2" s="46"/>
      <x:c r="D2" s="46"/>
      <x:c r="E2" s="46"/>
      <x:c r="F2" s="46"/>
      <x:c r="G2" s="46"/>
      <x:c r="H2" s="46"/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</x:row>
    <x:row r="4" ht="15" hidden="0" customHeight="1">
      <x:c r="A4" s="48" t="str">
        <x:v>ID</x:v>
      </x:c>
      <x:c r="B4" s="56" t="str">
        <x:v>Requisito</x:v>
      </x:c>
      <x:c r="C4" s="56" t="str">
        <x:v>Sprint</x:v>
      </x:c>
      <x:c r="D4" s="56" t="str">
        <x:v>Implementación</x:v>
      </x:c>
      <x:c r="E4" s="56" t="str">
        <x:v>Documento / evidencia</x:v>
      </x:c>
      <x:c r="F4" s="56" t="str">
        <x:v>Criterio verificable</x:v>
      </x:c>
      <x:c r="G4" s="56" t="str">
        <x:v>Responsable</x:v>
      </x:c>
      <x:c r="H4" s="49" t="str">
        <x:v>Estado</x:v>
      </x:c>
    </x:row>
    <x:row r="5" ht="15" hidden="0" customHeight="1">
      <x:c r="A5" s="50" t="str">
        <x:v>MIG-001</x:v>
      </x:c>
      <x:c r="B5" s="50" t="str">
        <x:v>Inventario del sistema anterior</x:v>
      </x:c>
      <x:c r="C5" s="50" t="n">
        <x:v>1</x:v>
      </x:c>
      <x:c r="D5" s="50" t="str">
        <x:v>Repositorios originales</x:v>
      </x:c>
      <x:c r="E5" s="50" t="str">
        <x:v>inventario-sistema-anterior.md</x:v>
      </x:c>
      <x:c r="F5" s="50" t="str">
        <x:v>Componentes y riesgos identificados</x:v>
      </x:c>
      <x:c r="G5" s="50" t="str">
        <x:v>Jesús</x:v>
      </x:c>
      <x:c r="H5" s="50" t="str">
        <x:v>Documentado</x:v>
      </x:c>
    </x:row>
    <x:row r="6" ht="15" hidden="0" customHeight="1">
      <x:c r="A6" s="52" t="str">
        <x:v>MIG-002</x:v>
      </x:c>
      <x:c r="B6" s="52" t="str">
        <x:v>Arquitectura objetivo y migración</x:v>
      </x:c>
      <x:c r="C6" s="52" t="n">
        <x:v>1</x:v>
      </x:c>
      <x:c r="D6" s="52" t="str">
        <x:v>React + Flask + MongoDB</x:v>
      </x:c>
      <x:c r="E6" s="52" t="str">
        <x:v>arquitectura-general.md / migracion-flask-react.md</x:v>
      </x:c>
      <x:c r="F6" s="52" t="str">
        <x:v>Capas y flujo definidos</x:v>
      </x:c>
      <x:c r="G6" s="52" t="str">
        <x:v>Jesús</x:v>
      </x:c>
      <x:c r="H6" s="52" t="str">
        <x:v>Documentado</x:v>
      </x:c>
    </x:row>
    <x:row r="7" ht="15" hidden="0" customHeight="1">
      <x:c r="A7" s="52" t="str">
        <x:v>ADM-001</x:v>
      </x:c>
      <x:c r="B7" s="52" t="str">
        <x:v>Pacientes</x:v>
      </x:c>
      <x:c r="C7" s="52" t="n">
        <x:v>2</x:v>
      </x:c>
      <x:c r="D7" s="52" t="str">
        <x:v>patients.py / pages administrativo</x:v>
      </x:c>
      <x:c r="E7" s="52" t="str">
        <x:v>modulo-pacientes.md</x:v>
      </x:c>
      <x:c r="F7" s="52" t="str">
        <x:v>Alta, búsqueda y edición</x:v>
      </x:c>
      <x:c r="G7" s="52" t="str">
        <x:v>Zahid / Joel / Jesús</x:v>
      </x:c>
      <x:c r="H7" s="52" t="str">
        <x:v>Integrado</x:v>
      </x:c>
    </x:row>
    <x:row r="8" ht="15" hidden="0" customHeight="1">
      <x:c r="A8" s="52" t="str">
        <x:v>ADM-002</x:v>
      </x:c>
      <x:c r="B8" s="52" t="str">
        <x:v>Censo y atención</x:v>
      </x:c>
      <x:c r="C8" s="52" t="n">
        <x:v>2</x:v>
      </x:c>
      <x:c r="D8" s="52" t="str">
        <x:v>administrative.py / CensoScreen</x:v>
      </x:c>
      <x:c r="E8" s="52" t="str">
        <x:v>flujo-pacientes.md</x:v>
      </x:c>
      <x:c r="F8" s="52" t="str">
        <x:v>Atenciones abiertas visibles</x:v>
      </x:c>
      <x:c r="G8" s="52" t="str">
        <x:v>Equipo</x:v>
      </x:c>
      <x:c r="H8" s="52" t="str">
        <x:v>Integrado</x:v>
      </x:c>
    </x:row>
    <x:row r="9" ht="15" hidden="0" customHeight="1">
      <x:c r="A9" s="52" t="str">
        <x:v>ADM-003</x:v>
      </x:c>
      <x:c r="B9" s="52" t="str">
        <x:v>Cuenta, cargos y pagos</x:v>
      </x:c>
      <x:c r="C9" s="52" t="n">
        <x:v>2</x:v>
      </x:c>
      <x:c r="D9" s="52" t="str">
        <x:v>billing.py / detalle paciente</x:v>
      </x:c>
      <x:c r="E9" s="52" t="str">
        <x:v>endpoints-administrativos.md</x:v>
      </x:c>
      <x:c r="F9" s="52" t="str">
        <x:v>Saldo y movimientos correctos</x:v>
      </x:c>
      <x:c r="G9" s="52" t="str">
        <x:v>Equipo</x:v>
      </x:c>
      <x:c r="H9" s="52" t="str">
        <x:v>Integrado</x:v>
      </x:c>
    </x:row>
    <x:row r="10" ht="15" hidden="0" customHeight="1">
      <x:c r="A10" s="52" t="str">
        <x:v>ENF-001–009</x:v>
      </x:c>
      <x:c r="B10" s="52" t="str">
        <x:v>Registros de Enfermería</x:v>
      </x:c>
      <x:c r="C10" s="52" t="n">
        <x:v>3</x:v>
      </x:c>
      <x:c r="D10" s="52" t="str">
        <x:v>medical.py / pages enfermería</x:v>
      </x:c>
      <x:c r="E10" s="52" t="str">
        <x:v>criterios-enfermeria.md</x:v>
      </x:c>
      <x:c r="F10" s="52" t="str">
        <x:v>Nueve flujos documentados</x:v>
      </x:c>
      <x:c r="G10" s="52" t="str">
        <x:v>Equipo</x:v>
      </x:c>
      <x:c r="H10" s="52" t="str">
        <x:v>Documentado</x:v>
      </x:c>
    </x:row>
    <x:row r="11" ht="15" hidden="0" customHeight="1">
      <x:c r="A11" s="52" t="str">
        <x:v>MED-001</x:v>
      </x:c>
      <x:c r="B11" s="52" t="str">
        <x:v>Panel y expediente médico</x:v>
      </x:c>
      <x:c r="C11" s="52" t="n">
        <x:v>4</x:v>
      </x:c>
      <x:c r="D11" s="52" t="str">
        <x:v>pages medico / medical.py</x:v>
      </x:c>
      <x:c r="E11" s="52" t="str">
        <x:v>modulo-medico.md</x:v>
      </x:c>
      <x:c r="F11" s="52" t="str">
        <x:v>Atención y expediente correctos</x:v>
      </x:c>
      <x:c r="G11" s="52" t="str">
        <x:v>Equipo</x:v>
      </x:c>
      <x:c r="H11" s="52" t="str">
        <x:v>Integrado</x:v>
      </x:c>
    </x:row>
    <x:row r="12" ht="15" hidden="0" customHeight="1">
      <x:c r="A12" s="52" t="str">
        <x:v>MED-002</x:v>
      </x:c>
      <x:c r="B12" s="52" t="str">
        <x:v>Nota, diagnóstico y receta</x:v>
      </x:c>
      <x:c r="C12" s="52" t="n">
        <x:v>4</x:v>
      </x:c>
      <x:c r="D12" s="52" t="str">
        <x:v>medical service / catalog</x:v>
      </x:c>
      <x:c r="E12" s="52" t="str">
        <x:v>modulo-medico.md</x:v>
      </x:c>
      <x:c r="F12" s="52" t="str">
        <x:v>Registros ligados a atención</x:v>
      </x:c>
      <x:c r="G12" s="52" t="str">
        <x:v>Equipo</x:v>
      </x:c>
      <x:c r="H12" s="52" t="str">
        <x:v>Integrado</x:v>
      </x:c>
    </x:row>
    <x:row r="13" ht="15" hidden="0" customHeight="1">
      <x:c r="A13" s="52" t="str">
        <x:v>EST-001</x:v>
      </x:c>
      <x:c r="B13" s="52" t="str">
        <x:v>Solicitudes y resultados</x:v>
      </x:c>
      <x:c r="C13" s="52" t="n">
        <x:v>4</x:v>
      </x:c>
      <x:c r="D13" s="52" t="str">
        <x:v>exams.py / studies.py</x:v>
      </x:c>
      <x:c r="E13" s="52" t="str">
        <x:v>modulo-estudios.md</x:v>
      </x:c>
      <x:c r="F13" s="52" t="str">
        <x:v>Pendiente a completado</x:v>
      </x:c>
      <x:c r="G13" s="52" t="str">
        <x:v>Equipo</x:v>
      </x:c>
      <x:c r="H13" s="52" t="str">
        <x:v>Integrado</x:v>
      </x:c>
    </x:row>
    <x:row r="14" ht="15" hidden="0" customHeight="1">
      <x:c r="A14" s="52" t="str">
        <x:v>CFG-001</x:v>
      </x:c>
      <x:c r="B14" s="52" t="str">
        <x:v>Catálogos y usuarios</x:v>
      </x:c>
      <x:c r="C14" s="52" t="n">
        <x:v>4</x:v>
      </x:c>
      <x:c r="D14" s="52" t="str">
        <x:v>beds / catalog / auth</x:v>
      </x:c>
      <x:c r="E14" s="52" t="str">
        <x:v>modulo-configuracion.md</x:v>
      </x:c>
      <x:c r="F14" s="52" t="str">
        <x:v>CRUD protegido por rol</x:v>
      </x:c>
      <x:c r="G14" s="52" t="str">
        <x:v>Equipo</x:v>
      </x:c>
      <x:c r="H14" s="52" t="str">
        <x:v>Integrado</x:v>
      </x:c>
    </x:row>
    <x:row r="15" ht="15" hidden="0" customHeight="1">
      <x:c r="A15" s="52" t="str">
        <x:v>CFG-002</x:v>
      </x:c>
      <x:c r="B15" s="52" t="str">
        <x:v>Respaldos y restauración</x:v>
      </x:c>
      <x:c r="C15" s="52" t="n">
        <x:v>4</x:v>
      </x:c>
      <x:c r="D15" s="52" t="str">
        <x:v>backup.py / backups.py</x:v>
      </x:c>
      <x:c r="E15" s="52" t="str">
        <x:v>respaldos.md</x:v>
      </x:c>
      <x:c r="F15" s="52" t="str">
        <x:v>Formatos y restauración controlados</x:v>
      </x:c>
      <x:c r="G15" s="52" t="str">
        <x:v>Equipo</x:v>
      </x:c>
      <x:c r="H15" s="52" t="str">
        <x:v>Documentado</x:v>
      </x:c>
    </x:row>
    <x:row r="16" ht="15" hidden="0" customHeight="1">
      <x:c r="A16" s="52" t="str">
        <x:v>I18N-001</x:v>
      </x:c>
      <x:c r="B16" s="52" t="str">
        <x:v>Español e inglés</x:v>
      </x:c>
      <x:c r="C16" s="52" t="n">
        <x:v>4</x:v>
      </x:c>
      <x:c r="D16" s="52" t="str">
        <x:v>src/i18n</x:v>
      </x:c>
      <x:c r="E16" s="52" t="str">
        <x:v>internacionalizacion.md</x:v>
      </x:c>
      <x:c r="F16" s="52" t="str">
        <x:v>Claves equivalentes</x:v>
      </x:c>
      <x:c r="G16" s="52" t="str">
        <x:v>Joel / Jesús</x:v>
      </x:c>
      <x:c r="H16" s="52" t="str">
        <x:v>Documentado</x:v>
      </x:c>
    </x:row>
    <x:row r="17" ht="15" hidden="0" customHeight="1">
      <x:c r="A17" s="52" t="str">
        <x:v>QA-001</x:v>
      </x:c>
      <x:c r="B17" s="52" t="str">
        <x:v>Pruebas API y web</x:v>
      </x:c>
      <x:c r="C17" s="52" t="n">
        <x:v>5</x:v>
      </x:c>
      <x:c r="D17" s="52" t="str">
        <x:v>tests / CI</x:v>
      </x:c>
      <x:c r="E17" s="52" t="str">
        <x:v>pruebas.md + evidencias</x:v>
      </x:c>
      <x:c r="F17" s="52" t="str">
        <x:v>Resultados reproducibles</x:v>
      </x:c>
      <x:c r="G17" s="52" t="str">
        <x:v>Zahid / Joel</x:v>
      </x:c>
      <x:c r="H17" s="52" t="str">
        <x:v>Pendiente evidencia</x:v>
      </x:c>
    </x:row>
    <x:row r="18" ht="15" hidden="0" customHeight="1">
      <x:c r="A18" s="52" t="str">
        <x:v>SEC-001</x:v>
      </x:c>
      <x:c r="B18" s="52" t="str">
        <x:v>Seguridad por token y rol</x:v>
      </x:c>
      <x:c r="C18" s="52" t="n">
        <x:v>5</x:v>
      </x:c>
      <x:c r="D18" s="52" t="str">
        <x:v>middleware / rutas privadas</x:v>
      </x:c>
      <x:c r="E18" s="52" t="str">
        <x:v>seguridad.md</x:v>
      </x:c>
      <x:c r="F18" s="52" t="str">
        <x:v>401/403 correctos</x:v>
      </x:c>
      <x:c r="G18" s="52" t="str">
        <x:v>Equipo</x:v>
      </x:c>
      <x:c r="H18" s="52" t="str">
        <x:v>Documentado</x:v>
      </x:c>
    </x:row>
    <x:row r="19" ht="15" hidden="0" customHeight="1">
      <x:c r="A19" s="52" t="str">
        <x:v>ANA-001</x:v>
      </x:c>
      <x:c r="B19" s="52" t="str">
        <x:v>Analítica Spark</x:v>
      </x:c>
      <x:c r="C19" s="52" t="n">
        <x:v>5</x:v>
      </x:c>
      <x:c r="D19" s="52" t="str">
        <x:v>spark routes/services/pages</x:v>
      </x:c>
      <x:c r="E19" s="52" t="str">
        <x:v>spark.md</x:v>
      </x:c>
      <x:c r="F19" s="52" t="str">
        <x:v>Solo si funciona y tiene evidencia</x:v>
      </x:c>
      <x:c r="G19" s="52" t="str">
        <x:v>Zahid / Joel</x:v>
      </x:c>
      <x:c r="H19" s="52" t="str">
        <x:v>Pendiente evidencia</x:v>
      </x:c>
    </x:row>
    <x:row r="20" ht="15" hidden="0" customHeight="1">
      <x:c r="A20" s="52" t="str">
        <x:v>CIE-001</x:v>
      </x:c>
      <x:c r="B20" s="52" t="str">
        <x:v>Despliegue y reversión</x:v>
      </x:c>
      <x:c r="C20" s="52" t="n">
        <x:v>6</x:v>
      </x:c>
      <x:c r="D20" s="52" t="str">
        <x:v>Flask / Vite / MongoDB</x:v>
      </x:c>
      <x:c r="E20" s="52" t="str">
        <x:v>despliegue.md / reversion.md</x:v>
      </x:c>
      <x:c r="F20" s="52" t="str">
        <x:v>Procedimientos reproducibles</x:v>
      </x:c>
      <x:c r="G20" s="52" t="str">
        <x:v>Jesús</x:v>
      </x:c>
      <x:c r="H20" s="52" t="str">
        <x:v>Documentado</x:v>
      </x:c>
    </x:row>
    <x:row r="21" ht="15" hidden="0" customHeight="1">
      <x:c r="A21" s="52" t="str">
        <x:v>CIE-002</x:v>
      </x:c>
      <x:c r="B21" s="52" t="str">
        <x:v>Cierre y trazabilidad</x:v>
      </x:c>
      <x:c r="C21" s="52" t="n">
        <x:v>6</x:v>
      </x:c>
      <x:c r="D21" s="52" t="str">
        <x:v>Documentación y evidencias</x:v>
      </x:c>
      <x:c r="E21" s="52" t="str">
        <x:v>acta-cierre.md / Excel / CHANGELOG</x:v>
      </x:c>
      <x:c r="F21" s="52" t="str">
        <x:v>Entregables localizables</x:v>
      </x:c>
      <x:c r="G21" s="52" t="str">
        <x:v>Jesús</x:v>
      </x:c>
      <x:c r="H21" s="52" t="str">
        <x:v>Documentado</x:v>
      </x:c>
    </x:row>
    <x:row r="22" ht="15" hidden="0" customHeight="1">
      <x:c r="A22" s="54" t="str">
        <x:v>CIE-003</x:v>
      </x:c>
      <x:c r="B22" s="54" t="str">
        <x:v>Validación final</x:v>
      </x:c>
      <x:c r="C22" s="54" t="n">
        <x:v>6</x:v>
      </x:c>
      <x:c r="D22" s="54" t="str">
        <x:v>main + evidencia del equipo</x:v>
      </x:c>
      <x:c r="E22" s="54" t="str">
        <x:v>evidence/ y design/</x:v>
      </x:c>
      <x:c r="F22" s="54" t="str">
        <x:v>PRs integrados y checklist aprobado</x:v>
      </x:c>
      <x:c r="G22" s="54" t="str">
        <x:v>Equipo</x:v>
      </x:c>
      <x:c r="H22" s="54" t="str">
        <x:v>Pendiente evidencia</x:v>
      </x:c>
    </x:row>
  </x:sheetData>
  <x:mergeCells>
    <x:mergeCell ref="A1:H1"/>
    <x:mergeCell ref="A2:H2"/>
  </x:mergeCells>
  <x:conditionalFormatting sqref="H5:H22">
    <x:cfRule type="containsText" dxfId="3" priority="1" operator="containsText" text="Pendiente"/>
    <x:cfRule type="containsText" dxfId="4" priority="2" operator="containsText" text="Validado"/>
  </x:conditionalFormatting>
  <x:dataValidations count="1">
    <x:dataValidation type="list" sqref="H5:H22">
      <x:formula1>"Integrado,Documentado,Validado,Pendiente evidencia"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0" hidden="0" customWidth="1"/>
    <x:col min="4" max="4" width="15" hidden="0" customWidth="1"/>
    <x:col min="5" max="5" width="48" hidden="0" customWidth="1"/>
    <x:col min="6" max="6" width="25" hidden="0" customWidth="1"/>
    <x:col min="7" max="7" width="14" hidden="0" customWidth="1"/>
    <x:col min="8" max="8" width="18" hidden="0" customWidth="1"/>
  </x:cols>
  <x:sheetData>
    <x:row r="1" ht="21.600000381469727" hidden="0" customHeight="1">
      <x:c r="A1" s="61" t="str">
        <x:v>Entregables por sprint</x:v>
      </x:c>
      <x:c r="B1" s="45"/>
      <x:c r="C1" s="45"/>
      <x:c r="D1" s="45"/>
      <x:c r="E1" s="45"/>
      <x:c r="F1" s="45"/>
      <x:c r="G1" s="45"/>
      <x:c r="H1" s="45"/>
    </x:row>
    <x:row r="2" ht="15" hidden="0" customHeight="1">
      <x:c r="A2" s="46" t="str">
        <x:v>Inventario de archivos asignados a Jesús y piezas de control del repositorio de integración.</x:v>
      </x:c>
      <x:c r="B2" s="46"/>
      <x:c r="C2" s="46"/>
      <x:c r="D2" s="46"/>
      <x:c r="E2" s="46"/>
      <x:c r="F2" s="46"/>
      <x:c r="G2" s="46"/>
      <x:c r="H2" s="46"/>
    </x:row>
    <x:row r="3" ht="15" hidden="0" customHeight="1">
      <x:c r="A3" s="47"/>
      <x:c r="B3" s="47"/>
      <x:c r="C3" s="47"/>
      <x:c r="D3" s="47"/>
      <x:c r="E3" s="47"/>
      <x:c r="F3" s="47"/>
      <x:c r="G3" s="47"/>
      <x:c r="H3" s="47"/>
    </x:row>
    <x:row r="4" ht="15" hidden="0" customHeight="1">
      <x:c r="A4" s="48" t="str">
        <x:v>Sprint</x:v>
      </x:c>
      <x:c r="B4" s="56" t="str">
        <x:v>Tipo</x:v>
      </x:c>
      <x:c r="C4" s="56" t="str">
        <x:v>Ruta</x:v>
      </x:c>
      <x:c r="D4" s="56" t="str">
        <x:v>Responsable</x:v>
      </x:c>
      <x:c r="E4" s="56" t="str">
        <x:v>Commit propuesto</x:v>
      </x:c>
      <x:c r="F4" s="56" t="str">
        <x:v>Criterio</x:v>
      </x:c>
      <x:c r="G4" s="56" t="str">
        <x:v>Estado</x:v>
      </x:c>
      <x:c r="H4" s="49" t="str">
        <x:v>Observación</x:v>
      </x:c>
    </x:row>
    <x:row r="5" ht="15" hidden="0" customHeight="1">
      <x:c r="A5" s="50" t="n">
        <x:v>1</x:v>
      </x:c>
      <x:c r="B5" s="50" t="str">
        <x:v>Documento</x:v>
      </x:c>
      <x:c r="C5" s="50" t="str">
        <x:v>docs/sprints/sprint-1/inventario-sistema-anterior.md</x:v>
      </x:c>
      <x:c r="D5" s="50" t="str">
        <x:v>Jesús</x:v>
      </x:c>
      <x:c r="E5" s="50" t="str">
        <x:v>docs(sprint-1): add system inventory and target architecture</x:v>
      </x:c>
      <x:c r="F5" s="50" t="str">
        <x:v>Archivo completo</x:v>
      </x:c>
      <x:c r="G5" s="50" t="str">
        <x:v>Listo</x:v>
      </x:c>
      <x:c r="H5" s="50" t="str">
        <x:v>MIG-001</x:v>
      </x:c>
    </x:row>
    <x:row r="6" ht="15" hidden="0" customHeight="1">
      <x:c r="A6" s="52" t="n">
        <x:v>1</x:v>
      </x:c>
      <x:c r="B6" s="52" t="str">
        <x:v>Documento</x:v>
      </x:c>
      <x:c r="C6" s="52" t="str">
        <x:v>docs/arquitectura/arquitectura-general.md</x:v>
      </x:c>
      <x:c r="D6" s="52" t="str">
        <x:v>Jesús</x:v>
      </x:c>
      <x:c r="E6" s="52" t="str">
        <x:v>docs(sprint-1): add system inventory and target architecture</x:v>
      </x:c>
      <x:c r="F6" s="52" t="str">
        <x:v>Archivo completo</x:v>
      </x:c>
      <x:c r="G6" s="52" t="str">
        <x:v>Listo</x:v>
      </x:c>
      <x:c r="H6" s="52" t="str">
        <x:v>MIG-002</x:v>
      </x:c>
    </x:row>
    <x:row r="7" ht="15" hidden="0" customHeight="1">
      <x:c r="A7" s="52" t="n">
        <x:v>1</x:v>
      </x:c>
      <x:c r="B7" s="52" t="str">
        <x:v>Documento</x:v>
      </x:c>
      <x:c r="C7" s="52" t="str">
        <x:v>docs/arquitectura/migracion-flask-react.md</x:v>
      </x:c>
      <x:c r="D7" s="52" t="str">
        <x:v>Jesús</x:v>
      </x:c>
      <x:c r="E7" s="52" t="str">
        <x:v>docs(sprint-1): add system inventory and target architecture</x:v>
      </x:c>
      <x:c r="F7" s="52" t="str">
        <x:v>Archivo completo</x:v>
      </x:c>
      <x:c r="G7" s="52" t="str">
        <x:v>Listo</x:v>
      </x:c>
      <x:c r="H7" s="52" t="str">
        <x:v>MIG-002</x:v>
      </x:c>
    </x:row>
    <x:row r="8" ht="15" hidden="0" customHeight="1">
      <x:c r="A8" s="52" t="n">
        <x:v>1</x:v>
      </x:c>
      <x:c r="B8" s="52" t="str">
        <x:v>Diagrama</x:v>
      </x:c>
      <x:c r="C8" s="52" t="str">
        <x:v>docs/arquitectura/diagrama-arquitectura.png</x:v>
      </x:c>
      <x:c r="D8" s="52" t="str">
        <x:v>Jesús</x:v>
      </x:c>
      <x:c r="E8" s="52" t="str">
        <x:v>docs(sprint-1): add system inventory and target architecture</x:v>
      </x:c>
      <x:c r="F8" s="52" t="str">
        <x:v>PNG legible</x:v>
      </x:c>
      <x:c r="G8" s="52" t="str">
        <x:v>Listo</x:v>
      </x:c>
      <x:c r="H8" s="52" t="str">
        <x:v>Arquitectura</x:v>
      </x:c>
    </x:row>
    <x:row r="9" ht="15" hidden="0" customHeight="1">
      <x:c r="A9" s="52" t="n">
        <x:v>2</x:v>
      </x:c>
      <x:c r="B9" s="52" t="str">
        <x:v>Documento</x:v>
      </x:c>
      <x:c r="C9" s="52" t="str">
        <x:v>docs/sprints/sprint-2/flujo-pacientes.md</x:v>
      </x:c>
      <x:c r="D9" s="52" t="str">
        <x:v>Jesús</x:v>
      </x:c>
      <x:c r="E9" s="52" t="str">
        <x:v>docs(sprint-2): document patient and administrative workflows</x:v>
      </x:c>
      <x:c r="F9" s="52" t="str">
        <x:v>Flujo completo</x:v>
      </x:c>
      <x:c r="G9" s="52" t="str">
        <x:v>Listo</x:v>
      </x:c>
      <x:c r="H9" s="52" t="str">
        <x:v>Administración</x:v>
      </x:c>
    </x:row>
    <x:row r="10" ht="15" hidden="0" customHeight="1">
      <x:c r="A10" s="52" t="n">
        <x:v>2</x:v>
      </x:c>
      <x:c r="B10" s="52" t="str">
        <x:v>Manual usuario</x:v>
      </x:c>
      <x:c r="C10" s="52" t="str">
        <x:v>docs/manual-usuario/modulo-pacientes.md</x:v>
      </x:c>
      <x:c r="D10" s="52" t="str">
        <x:v>Jesús</x:v>
      </x:c>
      <x:c r="E10" s="52" t="str">
        <x:v>docs(sprint-2): document patient and administrative workflows</x:v>
      </x:c>
      <x:c r="F10" s="52" t="str">
        <x:v>Uso explicado</x:v>
      </x:c>
      <x:c r="G10" s="52" t="str">
        <x:v>Listo</x:v>
      </x:c>
      <x:c r="H10" s="52" t="str">
        <x:v>Pacientes</x:v>
      </x:c>
    </x:row>
    <x:row r="11" ht="15" hidden="0" customHeight="1">
      <x:c r="A11" s="52" t="n">
        <x:v>2</x:v>
      </x:c>
      <x:c r="B11" s="52" t="str">
        <x:v>Manual técnico</x:v>
      </x:c>
      <x:c r="C11" s="52" t="str">
        <x:v>docs/manual-tecnico/endpoints-administrativos.md</x:v>
      </x:c>
      <x:c r="D11" s="52" t="str">
        <x:v>Jesús</x:v>
      </x:c>
      <x:c r="E11" s="52" t="str">
        <x:v>docs(sprint-2): document patient and administrative workflows</x:v>
      </x:c>
      <x:c r="F11" s="52" t="str">
        <x:v>Endpoints reales</x:v>
      </x:c>
      <x:c r="G11" s="52" t="str">
        <x:v>Listo</x:v>
      </x:c>
      <x:c r="H11" s="52" t="str">
        <x:v>API</x:v>
      </x:c>
    </x:row>
    <x:row r="12" ht="15" hidden="0" customHeight="1">
      <x:c r="A12" s="52" t="n">
        <x:v>3</x:v>
      </x:c>
      <x:c r="B12" s="52" t="str">
        <x:v>Manual usuario</x:v>
      </x:c>
      <x:c r="C12" s="52" t="str">
        <x:v>docs/manual-usuario/modulo-enfermeria.md</x:v>
      </x:c>
      <x:c r="D12" s="52" t="str">
        <x:v>Jesús</x:v>
      </x:c>
      <x:c r="E12" s="52" t="str">
        <x:v>docs(sprint-3): document nursing records and user workflow</x:v>
      </x:c>
      <x:c r="F12" s="52" t="str">
        <x:v>Uso explicado</x:v>
      </x:c>
      <x:c r="G12" s="52" t="str">
        <x:v>Listo</x:v>
      </x:c>
      <x:c r="H12" s="52" t="str">
        <x:v>ENF</x:v>
      </x:c>
    </x:row>
    <x:row r="13" ht="15" hidden="0" customHeight="1">
      <x:c r="A13" s="52" t="n">
        <x:v>3</x:v>
      </x:c>
      <x:c r="B13" s="52" t="str">
        <x:v>Manual técnico</x:v>
      </x:c>
      <x:c r="C13" s="52" t="str">
        <x:v>docs/manual-tecnico/registros-enfermeria.md</x:v>
      </x:c>
      <x:c r="D13" s="52" t="str">
        <x:v>Jesús</x:v>
      </x:c>
      <x:c r="E13" s="52" t="str">
        <x:v>docs(sprint-3): document nursing records and user workflow</x:v>
      </x:c>
      <x:c r="F13" s="52" t="str">
        <x:v>Registros reales</x:v>
      </x:c>
      <x:c r="G13" s="52" t="str">
        <x:v>Listo</x:v>
      </x:c>
      <x:c r="H13" s="52" t="str">
        <x:v>ENF</x:v>
      </x:c>
    </x:row>
    <x:row r="14" ht="15" hidden="0" customHeight="1">
      <x:c r="A14" s="52" t="n">
        <x:v>3</x:v>
      </x:c>
      <x:c r="B14" s="52" t="str">
        <x:v>Criterios</x:v>
      </x:c>
      <x:c r="C14" s="52" t="str">
        <x:v>docs/sprints/sprint-3/criterios-enfermeria.md</x:v>
      </x:c>
      <x:c r="D14" s="52" t="str">
        <x:v>Jesús</x:v>
      </x:c>
      <x:c r="E14" s="52" t="str">
        <x:v>docs(sprint-3): document nursing records and user workflow</x:v>
      </x:c>
      <x:c r="F14" s="52" t="str">
        <x:v>ENF-001–009</x:v>
      </x:c>
      <x:c r="G14" s="52" t="str">
        <x:v>Listo</x:v>
      </x:c>
      <x:c r="H14" s="52" t="str">
        <x:v>Criterios</x:v>
      </x:c>
    </x:row>
    <x:row r="15" ht="15" hidden="0" customHeight="1">
      <x:c r="A15" s="52" t="n">
        <x:v>4</x:v>
      </x:c>
      <x:c r="B15" s="52" t="str">
        <x:v>Manual usuario</x:v>
      </x:c>
      <x:c r="C15" s="52" t="str">
        <x:v>docs/manual-usuario/modulo-medico.md</x:v>
      </x:c>
      <x:c r="D15" s="52" t="str">
        <x:v>Jesús</x:v>
      </x:c>
      <x:c r="E15" s="52" t="str">
        <x:v>docs(sprint-4): document medical studies configuration and backups</x:v>
      </x:c>
      <x:c r="F15" s="52" t="str">
        <x:v>Uso explicado</x:v>
      </x:c>
      <x:c r="G15" s="52" t="str">
        <x:v>Listo</x:v>
      </x:c>
      <x:c r="H15" s="52" t="str">
        <x:v>Médico</x:v>
      </x:c>
    </x:row>
    <x:row r="16" ht="15" hidden="0" customHeight="1">
      <x:c r="A16" s="52" t="n">
        <x:v>4</x:v>
      </x:c>
      <x:c r="B16" s="52" t="str">
        <x:v>Manual usuario</x:v>
      </x:c>
      <x:c r="C16" s="52" t="str">
        <x:v>docs/manual-usuario/modulo-estudios.md</x:v>
      </x:c>
      <x:c r="D16" s="52" t="str">
        <x:v>Jesús</x:v>
      </x:c>
      <x:c r="E16" s="52" t="str">
        <x:v>docs(sprint-4): document medical studies configuration and backups</x:v>
      </x:c>
      <x:c r="F16" s="52" t="str">
        <x:v>Uso explicado</x:v>
      </x:c>
      <x:c r="G16" s="52" t="str">
        <x:v>Listo</x:v>
      </x:c>
      <x:c r="H16" s="52" t="str">
        <x:v>Estudios</x:v>
      </x:c>
    </x:row>
    <x:row r="17" ht="15" hidden="0" customHeight="1">
      <x:c r="A17" s="52" t="n">
        <x:v>4</x:v>
      </x:c>
      <x:c r="B17" s="52" t="str">
        <x:v>Manual usuario</x:v>
      </x:c>
      <x:c r="C17" s="52" t="str">
        <x:v>docs/manual-usuario/modulo-configuracion.md</x:v>
      </x:c>
      <x:c r="D17" s="52" t="str">
        <x:v>Jesús</x:v>
      </x:c>
      <x:c r="E17" s="52" t="str">
        <x:v>docs(sprint-4): document medical studies configuration and backups</x:v>
      </x:c>
      <x:c r="F17" s="52" t="str">
        <x:v>Uso explicado</x:v>
      </x:c>
      <x:c r="G17" s="52" t="str">
        <x:v>Listo</x:v>
      </x:c>
      <x:c r="H17" s="52" t="str">
        <x:v>Configuración</x:v>
      </x:c>
    </x:row>
    <x:row r="18" ht="15" hidden="0" customHeight="1">
      <x:c r="A18" s="52" t="n">
        <x:v>4</x:v>
      </x:c>
      <x:c r="B18" s="52" t="str">
        <x:v>Manual técnico</x:v>
      </x:c>
      <x:c r="C18" s="52" t="str">
        <x:v>docs/manual-tecnico/respaldos.md</x:v>
      </x:c>
      <x:c r="D18" s="52" t="str">
        <x:v>Jesús</x:v>
      </x:c>
      <x:c r="E18" s="52" t="str">
        <x:v>docs(sprint-4): document medical studies configuration and backups</x:v>
      </x:c>
      <x:c r="F18" s="52" t="str">
        <x:v>Formatos y seguridad</x:v>
      </x:c>
      <x:c r="G18" s="52" t="str">
        <x:v>Listo</x:v>
      </x:c>
      <x:c r="H18" s="52" t="str">
        <x:v>Backup</x:v>
      </x:c>
    </x:row>
    <x:row r="19" ht="15" hidden="0" customHeight="1">
      <x:c r="A19" s="52" t="n">
        <x:v>4</x:v>
      </x:c>
      <x:c r="B19" s="52" t="str">
        <x:v>Manual técnico</x:v>
      </x:c>
      <x:c r="C19" s="52" t="str">
        <x:v>docs/manual-tecnico/internacionalizacion.md</x:v>
      </x:c>
      <x:c r="D19" s="52" t="str">
        <x:v>Jesús</x:v>
      </x:c>
      <x:c r="E19" s="52" t="str">
        <x:v>docs(sprint-4): document medical studies configuration and backups</x:v>
      </x:c>
      <x:c r="F19" s="52" t="str">
        <x:v>ES/EN</x:v>
      </x:c>
      <x:c r="G19" s="52" t="str">
        <x:v>Listo</x:v>
      </x:c>
      <x:c r="H19" s="52" t="str">
        <x:v>i18n</x:v>
      </x:c>
    </x:row>
    <x:row r="20" ht="15" hidden="0" customHeight="1">
      <x:c r="A20" s="52" t="n">
        <x:v>5</x:v>
      </x:c>
      <x:c r="B20" s="52" t="str">
        <x:v>Manual técnico</x:v>
      </x:c>
      <x:c r="C20" s="52" t="str">
        <x:v>docs/manual-tecnico/pruebas.md</x:v>
      </x:c>
      <x:c r="D20" s="52" t="str">
        <x:v>Jesús</x:v>
      </x:c>
      <x:c r="E20" s="52" t="str">
        <x:v>docs(sprint-5): document testing security and analytics</x:v>
      </x:c>
      <x:c r="F20" s="52" t="str">
        <x:v>Basado en evidencia</x:v>
      </x:c>
      <x:c r="G20" s="52" t="str">
        <x:v>Planeado</x:v>
      </x:c>
      <x:c r="H20" s="52" t="str">
        <x:v>QA</x:v>
      </x:c>
    </x:row>
    <x:row r="21" ht="15" hidden="0" customHeight="1">
      <x:c r="A21" s="52" t="n">
        <x:v>5</x:v>
      </x:c>
      <x:c r="B21" s="52" t="str">
        <x:v>Manual técnico</x:v>
      </x:c>
      <x:c r="C21" s="52" t="str">
        <x:v>docs/manual-tecnico/seguridad.md</x:v>
      </x:c>
      <x:c r="D21" s="52" t="str">
        <x:v>Jesús</x:v>
      </x:c>
      <x:c r="E21" s="52" t="str">
        <x:v>docs(sprint-5): document testing security and analytics</x:v>
      </x:c>
      <x:c r="F21" s="52" t="str">
        <x:v>Controles reales</x:v>
      </x:c>
      <x:c r="G21" s="52" t="str">
        <x:v>Planeado</x:v>
      </x:c>
      <x:c r="H21" s="52" t="str">
        <x:v>Seguridad</x:v>
      </x:c>
    </x:row>
    <x:row r="22" ht="15" hidden="0" customHeight="1">
      <x:c r="A22" s="52" t="n">
        <x:v>5</x:v>
      </x:c>
      <x:c r="B22" s="52" t="str">
        <x:v>Manual técnico</x:v>
      </x:c>
      <x:c r="C22" s="52" t="str">
        <x:v>docs/manual-tecnico/spark.md</x:v>
      </x:c>
      <x:c r="D22" s="52" t="str">
        <x:v>Jesús</x:v>
      </x:c>
      <x:c r="E22" s="52" t="str">
        <x:v>docs(sprint-5): document testing security and analytics</x:v>
      </x:c>
      <x:c r="F22" s="52" t="str">
        <x:v>Solo si funciona</x:v>
      </x:c>
      <x:c r="G22" s="52" t="str">
        <x:v>Planeado</x:v>
      </x:c>
      <x:c r="H22" s="52" t="str">
        <x:v>Spark</x:v>
      </x:c>
    </x:row>
    <x:row r="23" ht="15" hidden="0" customHeight="1">
      <x:c r="A23" s="52" t="n">
        <x:v>5</x:v>
      </x:c>
      <x:c r="B23" s="52" t="str">
        <x:v>Resultados</x:v>
      </x:c>
      <x:c r="C23" s="52" t="str">
        <x:v>docs/sprints/sprint-5/resultados-pruebas.md</x:v>
      </x:c>
      <x:c r="D23" s="52" t="str">
        <x:v>Jesús</x:v>
      </x:c>
      <x:c r="E23" s="52" t="str">
        <x:v>docs(sprint-5): document testing security and analytics</x:v>
      </x:c>
      <x:c r="F23" s="52" t="str">
        <x:v>Resultados verificables</x:v>
      </x:c>
      <x:c r="G23" s="52" t="str">
        <x:v>Planeado</x:v>
      </x:c>
      <x:c r="H23" s="52" t="str">
        <x:v>QA</x:v>
      </x:c>
    </x:row>
    <x:row r="24" ht="15" hidden="0" customHeight="1">
      <x:c r="A24" s="52" t="n">
        <x:v>6</x:v>
      </x:c>
      <x:c r="B24" s="52" t="str">
        <x:v>Matriz</x:v>
      </x:c>
      <x:c r="C24" s="52" t="str">
        <x:v>docs/pbl/matriz-trazabilidad.md</x:v>
      </x:c>
      <x:c r="D24" s="52" t="str">
        <x:v>Jesús</x:v>
      </x:c>
      <x:c r="E24" s="52" t="str">
        <x:v>docs(sprint-6): complete PBL traceability and project closure</x:v>
      </x:c>
      <x:c r="F24" s="52" t="str">
        <x:v>Cobertura PBL</x:v>
      </x:c>
      <x:c r="G24" s="52" t="str">
        <x:v>Listo</x:v>
      </x:c>
      <x:c r="H24" s="52" t="str">
        <x:v>Cierre</x:v>
      </x:c>
    </x:row>
    <x:row r="25" ht="15" hidden="0" customHeight="1">
      <x:c r="A25" s="52" t="n">
        <x:v>6</x:v>
      </x:c>
      <x:c r="B25" s="52" t="str">
        <x:v>Acta</x:v>
      </x:c>
      <x:c r="C25" s="52" t="str">
        <x:v>docs/pbl/acta-cierre.md</x:v>
      </x:c>
      <x:c r="D25" s="52" t="str">
        <x:v>Jesús</x:v>
      </x:c>
      <x:c r="E25" s="52" t="str">
        <x:v>docs(sprint-6): complete PBL traceability and project closure</x:v>
      </x:c>
      <x:c r="F25" s="52" t="str">
        <x:v>Firmas y riesgos</x:v>
      </x:c>
      <x:c r="G25" s="52" t="str">
        <x:v>Listo</x:v>
      </x:c>
      <x:c r="H25" s="52" t="str">
        <x:v>Cierre</x:v>
      </x:c>
    </x:row>
    <x:row r="26" ht="15" hidden="0" customHeight="1">
      <x:c r="A26" s="52" t="n">
        <x:v>6</x:v>
      </x:c>
      <x:c r="B26" s="52" t="str">
        <x:v>Despliegue</x:v>
      </x:c>
      <x:c r="C26" s="52" t="str">
        <x:v>docs/deployment/despliegue.md</x:v>
      </x:c>
      <x:c r="D26" s="52" t="str">
        <x:v>Jesús</x:v>
      </x:c>
      <x:c r="E26" s="52" t="str">
        <x:v>docs(sprint-6): complete PBL traceability and project closure</x:v>
      </x:c>
      <x:c r="F26" s="52" t="str">
        <x:v>Reproducible</x:v>
      </x:c>
      <x:c r="G26" s="52" t="str">
        <x:v>Listo</x:v>
      </x:c>
      <x:c r="H26" s="52" t="str">
        <x:v>Operación</x:v>
      </x:c>
    </x:row>
    <x:row r="27" ht="15" hidden="0" customHeight="1">
      <x:c r="A27" s="52" t="n">
        <x:v>6</x:v>
      </x:c>
      <x:c r="B27" s="52" t="str">
        <x:v>Reversión</x:v>
      </x:c>
      <x:c r="C27" s="52" t="str">
        <x:v>docs/deployment/reversion.md</x:v>
      </x:c>
      <x:c r="D27" s="52" t="str">
        <x:v>Jesús</x:v>
      </x:c>
      <x:c r="E27" s="52" t="str">
        <x:v>docs(sprint-6): complete PBL traceability and project closure</x:v>
      </x:c>
      <x:c r="F27" s="52" t="str">
        <x:v>Restablece tag estable</x:v>
      </x:c>
      <x:c r="G27" s="52" t="str">
        <x:v>Listo</x:v>
      </x:c>
      <x:c r="H27" s="52" t="str">
        <x:v>Operación</x:v>
      </x:c>
    </x:row>
    <x:row r="28" ht="15" hidden="0" customHeight="1">
      <x:c r="A28" s="52" t="n">
        <x:v>6</x:v>
      </x:c>
      <x:c r="B28" s="52" t="str">
        <x:v>Historial</x:v>
      </x:c>
      <x:c r="C28" s="52" t="str">
        <x:v>CHANGELOG.md</x:v>
      </x:c>
      <x:c r="D28" s="52" t="str">
        <x:v>Jesús</x:v>
      </x:c>
      <x:c r="E28" s="52" t="str">
        <x:v>docs(sprint-6): complete PBL traceability and project closure</x:v>
      </x:c>
      <x:c r="F28" s="52" t="str">
        <x:v>Sprints 1–6</x:v>
      </x:c>
      <x:c r="G28" s="52" t="str">
        <x:v>Listo</x:v>
      </x:c>
      <x:c r="H28" s="52" t="str">
        <x:v>Cierre</x:v>
      </x:c>
    </x:row>
    <x:row r="29" ht="15" hidden="0" customHeight="1">
      <x:c r="A29" s="54" t="n">
        <x:v>6</x:v>
      </x:c>
      <x:c r="B29" s="54" t="str">
        <x:v>Excel</x:v>
      </x:c>
      <x:c r="C29" s="54" t="str">
        <x:v>PBL/PBL_FINAL_INEO_WEB_API_Y_COMMITS.xlsx</x:v>
      </x:c>
      <x:c r="D29" s="54" t="str">
        <x:v>Jesús</x:v>
      </x:c>
      <x:c r="E29" s="54" t="str">
        <x:v>docs(sprint-6): complete PBL traceability and project closure</x:v>
      </x:c>
      <x:c r="F29" s="54" t="str">
        <x:v>Trazabilidad auditable</x:v>
      </x:c>
      <x:c r="G29" s="54" t="str">
        <x:v>Listo</x:v>
      </x:c>
      <x:c r="H29" s="54" t="str">
        <x:v>Cierre</x:v>
      </x:c>
    </x:row>
  </x:sheetData>
  <x:mergeCells>
    <x:mergeCell ref="A1:H1"/>
    <x:mergeCell ref="A2:H2"/>
  </x:mergeCells>
  <x:conditionalFormatting sqref="G5:G29">
    <x:cfRule type="containsText" dxfId="5" priority="1" operator="containsText" text="Listo"/>
    <x:cfRule type="containsText" dxfId="6" priority="2" operator="containsText" text="Planeado"/>
  </x:conditionalFormatting>
  <x:dataValidations count="1">
    <x:dataValidation type="list" sqref="G5:G29">
      <x:formula1>"Listo,Planeado,Pendiente"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24" hidden="0" customWidth="1"/>
    <x:col min="5" max="5" width="58" hidden="0" customWidth="1"/>
    <x:col min="6" max="6" width="28" hidden="0" customWidth="1"/>
    <x:col min="7" max="7" width="20" hidden="0" customWidth="1"/>
  </x:cols>
  <x:sheetData>
    <x:row r="1" ht="21.600000381469727" hidden="0" customHeight="1">
      <x:c r="A1" s="61" t="str">
        <x:v>Plan de commits e integración</x:v>
      </x:c>
      <x:c r="B1" s="45"/>
      <x:c r="C1" s="45"/>
      <x:c r="D1" s="45"/>
      <x:c r="E1" s="45"/>
      <x:c r="F1" s="45"/>
      <x:c r="G1" s="45"/>
    </x:row>
    <x:row r="2" ht="15" hidden="0" customHeight="1">
      <x:c r="A2" s="46" t="str">
        <x:v>Commits de reconstrucción por sprint. Completar hash y PR únicamente después de ejecutar Git.</x:v>
      </x:c>
      <x:c r="B2" s="46"/>
      <x:c r="C2" s="46"/>
      <x:c r="D2" s="46"/>
      <x:c r="E2" s="46"/>
      <x:c r="F2" s="46"/>
      <x:c r="G2" s="46"/>
    </x:row>
    <x:row r="3" ht="15" hidden="0" customHeight="1">
      <x:c r="A3" s="47"/>
      <x:c r="B3" s="47"/>
      <x:c r="C3" s="47"/>
      <x:c r="D3" s="47"/>
      <x:c r="E3" s="47"/>
      <x:c r="F3" s="47"/>
      <x:c r="G3" s="47"/>
    </x:row>
    <x:row r="4" ht="15" hidden="0" customHeight="1">
      <x:c r="A4" s="48" t="str">
        <x:v>Orden</x:v>
      </x:c>
      <x:c r="B4" s="56" t="str">
        <x:v>Sprint</x:v>
      </x:c>
      <x:c r="C4" s="56" t="str">
        <x:v>Responsable</x:v>
      </x:c>
      <x:c r="D4" s="56" t="str">
        <x:v>Rama / flujo</x:v>
      </x:c>
      <x:c r="E4" s="56" t="str">
        <x:v>Mensaje de commit</x:v>
      </x:c>
      <x:c r="F4" s="56" t="str">
        <x:v>Hash / PR</x:v>
      </x:c>
      <x:c r="G4" s="49" t="str">
        <x:v>Estado</x:v>
      </x:c>
    </x:row>
    <x:row r="5" ht="15" hidden="0" customHeight="1">
      <x:c r="A5" s="50" t="n">
        <x:v>1</x:v>
      </x:c>
      <x:c r="B5" s="50" t="n">
        <x:v>1</x:v>
      </x:c>
      <x:c r="C5" s="50" t="str">
        <x:v>Jesús</x:v>
      </x:c>
      <x:c r="D5" s="50" t="str">
        <x:v>sprints/documentacion</x:v>
      </x:c>
      <x:c r="E5" s="50" t="str">
        <x:v>docs(sprint-1): add system inventory and target architecture</x:v>
      </x:c>
      <x:c r="F5" s="62" t="str"/>
      <x:c r="G5" s="50" t="str">
        <x:v>Integrado</x:v>
      </x:c>
    </x:row>
    <x:row r="6" ht="15" hidden="0" customHeight="1">
      <x:c r="A6" s="52" t="n">
        <x:v>2</x:v>
      </x:c>
      <x:c r="B6" s="52" t="n">
        <x:v>2</x:v>
      </x:c>
      <x:c r="C6" s="52" t="str">
        <x:v>Jesús</x:v>
      </x:c>
      <x:c r="D6" s="52" t="str">
        <x:v>sprints/documentacion</x:v>
      </x:c>
      <x:c r="E6" s="52" t="str">
        <x:v>docs(sprint-2): document patient and administrative workflows</x:v>
      </x:c>
      <x:c r="F6" s="63" t="str"/>
      <x:c r="G6" s="52" t="str">
        <x:v>Integrado</x:v>
      </x:c>
    </x:row>
    <x:row r="7" ht="15" hidden="0" customHeight="1">
      <x:c r="A7" s="52" t="n">
        <x:v>3</x:v>
      </x:c>
      <x:c r="B7" s="52" t="n">
        <x:v>3</x:v>
      </x:c>
      <x:c r="C7" s="52" t="str">
        <x:v>Jesús</x:v>
      </x:c>
      <x:c r="D7" s="52" t="str">
        <x:v>sprints/documentacion</x:v>
      </x:c>
      <x:c r="E7" s="52" t="str">
        <x:v>docs(sprint-3): document nursing records and user workflow</x:v>
      </x:c>
      <x:c r="F7" s="63" t="str"/>
      <x:c r="G7" s="52" t="str">
        <x:v>Integrado</x:v>
      </x:c>
    </x:row>
    <x:row r="8" ht="15" hidden="0" customHeight="1">
      <x:c r="A8" s="52" t="n">
        <x:v>4</x:v>
      </x:c>
      <x:c r="B8" s="52" t="n">
        <x:v>4</x:v>
      </x:c>
      <x:c r="C8" s="52" t="str">
        <x:v>Jesús</x:v>
      </x:c>
      <x:c r="D8" s="52" t="str">
        <x:v>sprints/documentacion</x:v>
      </x:c>
      <x:c r="E8" s="52" t="str">
        <x:v>docs(sprint-4): document medical studies configuration and backups</x:v>
      </x:c>
      <x:c r="F8" s="63" t="str"/>
      <x:c r="G8" s="52" t="str">
        <x:v>Integrado</x:v>
      </x:c>
    </x:row>
    <x:row r="9" ht="15" hidden="0" customHeight="1">
      <x:c r="A9" s="52" t="n">
        <x:v>5</x:v>
      </x:c>
      <x:c r="B9" s="52" t="n">
        <x:v>5</x:v>
      </x:c>
      <x:c r="C9" s="52" t="str">
        <x:v>Jesús</x:v>
      </x:c>
      <x:c r="D9" s="52" t="str">
        <x:v>sprints/documentacion</x:v>
      </x:c>
      <x:c r="E9" s="52" t="str">
        <x:v>docs(sprint-5): document testing security and analytics</x:v>
      </x:c>
      <x:c r="F9" s="63" t="str"/>
      <x:c r="G9" s="52" t="str">
        <x:v>Pendiente</x:v>
      </x:c>
    </x:row>
    <x:row r="10" ht="15" hidden="0" customHeight="1">
      <x:c r="A10" s="52" t="n">
        <x:v>6</x:v>
      </x:c>
      <x:c r="B10" s="52" t="n">
        <x:v>6</x:v>
      </x:c>
      <x:c r="C10" s="52" t="str">
        <x:v>Jaime</x:v>
      </x:c>
      <x:c r="D10" s="52" t="str">
        <x:v>sprints/diseno</x:v>
      </x:c>
      <x:c r="E10" s="52" t="str">
        <x:v>docs(sprint-6): complete final design validation</x:v>
      </x:c>
      <x:c r="F10" s="63" t="str"/>
      <x:c r="G10" s="52" t="str">
        <x:v>Pendiente</x:v>
      </x:c>
    </x:row>
    <x:row r="11" ht="15" hidden="0" customHeight="1">
      <x:c r="A11" s="52" t="n">
        <x:v>7</x:v>
      </x:c>
      <x:c r="B11" s="52" t="n">
        <x:v>6</x:v>
      </x:c>
      <x:c r="C11" s="52" t="str">
        <x:v>Zahid</x:v>
      </x:c>
      <x:c r="D11" s="52" t="str">
        <x:v>sprints/api</x:v>
      </x:c>
      <x:c r="E11" s="52" t="str">
        <x:v>docs(sprint-6): record final API validation evidence</x:v>
      </x:c>
      <x:c r="F11" s="63" t="str"/>
      <x:c r="G11" s="52" t="str">
        <x:v>Pendiente</x:v>
      </x:c>
    </x:row>
    <x:row r="12" ht="15" hidden="0" customHeight="1">
      <x:c r="A12" s="52" t="n">
        <x:v>8</x:v>
      </x:c>
      <x:c r="B12" s="52" t="n">
        <x:v>6</x:v>
      </x:c>
      <x:c r="C12" s="52" t="str">
        <x:v>Joel</x:v>
      </x:c>
      <x:c r="D12" s="52" t="str">
        <x:v>sprints/react-web</x:v>
      </x:c>
      <x:c r="E12" s="52" t="str">
        <x:v>docs(sprint-6): record final web validation evidence</x:v>
      </x:c>
      <x:c r="F12" s="63" t="str"/>
      <x:c r="G12" s="52" t="str">
        <x:v>Pendiente</x:v>
      </x:c>
    </x:row>
    <x:row r="13" ht="15" hidden="0" customHeight="1">
      <x:c r="A13" s="54" t="n">
        <x:v>9</x:v>
      </x:c>
      <x:c r="B13" s="54" t="n">
        <x:v>6</x:v>
      </x:c>
      <x:c r="C13" s="54" t="str">
        <x:v>Jesús</x:v>
      </x:c>
      <x:c r="D13" s="54" t="str">
        <x:v>sprints/documentacion</x:v>
      </x:c>
      <x:c r="E13" s="54" t="str">
        <x:v>docs(sprint-6): complete PBL traceability and project closure</x:v>
      </x:c>
      <x:c r="F13" s="64" t="str"/>
      <x:c r="G13" s="54" t="str">
        <x:v>Listo para commit</x:v>
      </x:c>
    </x:row>
  </x:sheetData>
  <x:mergeCells>
    <x:mergeCell ref="A1:G1"/>
    <x:mergeCell ref="A2:G2"/>
  </x:mergeCells>
  <x:conditionalFormatting sqref="G5:G13">
    <x:cfRule type="containsText" dxfId="7" priority="1" operator="containsText" text="Pendiente"/>
    <x:cfRule type="containsText" dxfId="8" priority="2" operator="containsText" text="Integrado"/>
  </x:conditionalFormatting>
  <x:dataValidations count="1">
    <x:dataValidation type="list" sqref="G5:G13">
      <x:formula1>"Pendiente,Listo para commit,Integrado"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17" hidden="0" customWidth="1"/>
    <x:col min="4" max="4" width="17" hidden="0" customWidth="1"/>
    <x:col min="5" max="5" width="42" hidden="0" customWidth="1"/>
    <x:col min="6" max="6" width="31" hidden="0" customWidth="1"/>
  </x:cols>
  <x:sheetData>
    <x:row r="1" ht="21.600000381469727" hidden="0" customHeight="1">
      <x:c r="A1" s="61" t="str">
        <x:v>Checklist de cierre</x:v>
      </x:c>
      <x:c r="B1" s="45"/>
      <x:c r="C1" s="45"/>
      <x:c r="D1" s="45"/>
      <x:c r="E1" s="45"/>
      <x:c r="F1" s="45"/>
    </x:row>
    <x:row r="2" ht="15" hidden="0" customHeight="1">
      <x:c r="A2" s="46" t="str">
        <x:v>Actualizar Estado y Evidencia antes de firmar el acta. Las celdas amarillas son entradas del equipo.</x:v>
      </x:c>
      <x:c r="B2" s="46"/>
      <x:c r="C2" s="46"/>
      <x:c r="D2" s="46"/>
      <x:c r="E2" s="46"/>
      <x:c r="F2" s="46"/>
    </x:row>
    <x:row r="3" ht="15" hidden="0" customHeight="1">
      <x:c r="A3" s="47"/>
      <x:c r="B3" s="47"/>
      <x:c r="C3" s="47"/>
      <x:c r="D3" s="47"/>
      <x:c r="E3" s="47"/>
      <x:c r="F3" s="47"/>
    </x:row>
    <x:row r="4" ht="15" hidden="0" customHeight="1">
      <x:c r="A4" s="48" t="str">
        <x:v>ID</x:v>
      </x:c>
      <x:c r="B4" s="56" t="str">
        <x:v>Validación</x:v>
      </x:c>
      <x:c r="C4" s="56" t="str">
        <x:v>Responsable</x:v>
      </x:c>
      <x:c r="D4" s="56" t="str">
        <x:v>Estado</x:v>
      </x:c>
      <x:c r="E4" s="56" t="str">
        <x:v>Evidencia / referencia</x:v>
      </x:c>
      <x:c r="F4" s="49" t="str">
        <x:v>Observación</x:v>
      </x:c>
    </x:row>
    <x:row r="5" ht="15" hidden="0" customHeight="1">
      <x:c r="A5" s="50" t="str">
        <x:v>CL-01</x:v>
      </x:c>
      <x:c r="B5" s="50" t="str">
        <x:v>API /health y rutas principales</x:v>
      </x:c>
      <x:c r="C5" s="50" t="str">
        <x:v>Zahid</x:v>
      </x:c>
      <x:c r="D5" s="62" t="str">
        <x:v>Pendiente</x:v>
      </x:c>
      <x:c r="E5" s="62" t="str">
        <x:v>evidence/zahid/resultados-api.md</x:v>
      </x:c>
      <x:c r="F5" s="50" t="str">
        <x:v>Debe incluir fecha y comandos</x:v>
      </x:c>
    </x:row>
    <x:row r="6" ht="15" hidden="0" customHeight="1">
      <x:c r="A6" s="52" t="str">
        <x:v>CL-02</x:v>
      </x:c>
      <x:c r="B6" s="52" t="str">
        <x:v>Build, lint y flujo web</x:v>
      </x:c>
      <x:c r="C6" s="52" t="str">
        <x:v>Joel</x:v>
      </x:c>
      <x:c r="D6" s="63" t="str">
        <x:v>Pendiente</x:v>
      </x:c>
      <x:c r="E6" s="63" t="str">
        <x:v>evidence/joel/resultados-web.md</x:v>
      </x:c>
      <x:c r="F6" s="52" t="str">
        <x:v>Sin errores críticos</x:v>
      </x:c>
    </x:row>
    <x:row r="7" ht="15" hidden="0" customHeight="1">
      <x:c r="A7" s="52" t="str">
        <x:v>CL-03</x:v>
      </x:c>
      <x:c r="B7" s="52" t="str">
        <x:v>Diseño, responsive y accesibilidad</x:v>
      </x:c>
      <x:c r="C7" s="52" t="str">
        <x:v>Jaime</x:v>
      </x:c>
      <x:c r="D7" s="63" t="str">
        <x:v>Pendiente</x:v>
      </x:c>
      <x:c r="E7" s="63" t="str">
        <x:v>design/validacion-final-diseno.md</x:v>
      </x:c>
      <x:c r="F7" s="52" t="str">
        <x:v>Validación visual final</x:v>
      </x:c>
    </x:row>
    <x:row r="8" ht="15" hidden="0" customHeight="1">
      <x:c r="A8" s="52" t="str">
        <x:v>CL-04</x:v>
      </x:c>
      <x:c r="B8" s="52" t="str">
        <x:v>Documentación y trazabilidad</x:v>
      </x:c>
      <x:c r="C8" s="52" t="str">
        <x:v>Jesús</x:v>
      </x:c>
      <x:c r="D8" s="63" t="str">
        <x:v>Validado</x:v>
      </x:c>
      <x:c r="E8" s="63" t="str">
        <x:v>docs/pbl/ y PBL/</x:v>
      </x:c>
      <x:c r="F8" s="52" t="str">
        <x:v>Entregables preparados</x:v>
      </x:c>
    </x:row>
    <x:row r="9" ht="15" hidden="0" customHeight="1">
      <x:c r="A9" s="52" t="str">
        <x:v>CL-05</x:v>
      </x:c>
      <x:c r="B9" s="52" t="str">
        <x:v>Secretos y datos sensibles fuera de Git</x:v>
      </x:c>
      <x:c r="C9" s="52" t="str">
        <x:v>Equipo</x:v>
      </x:c>
      <x:c r="D9" s="63" t="str">
        <x:v>Pendiente</x:v>
      </x:c>
      <x:c r="E9" s="63" t="str">
        <x:v>.gitignore + git status</x:v>
      </x:c>
      <x:c r="F9" s="52" t="str">
        <x:v>Revisar antes del push</x:v>
      </x:c>
    </x:row>
    <x:row r="10" ht="15" hidden="0" customHeight="1">
      <x:c r="A10" s="52" t="str">
        <x:v>CL-06</x:v>
      </x:c>
      <x:c r="B10" s="52" t="str">
        <x:v>Procedimiento de despliegue revisado</x:v>
      </x:c>
      <x:c r="C10" s="52" t="str">
        <x:v>Equipo</x:v>
      </x:c>
      <x:c r="D10" s="63" t="str">
        <x:v>Pendiente</x:v>
      </x:c>
      <x:c r="E10" s="63" t="str">
        <x:v>docs/deployment/despliegue.md</x:v>
      </x:c>
      <x:c r="F10" s="52" t="str">
        <x:v>Probar en ambiente limpio</x:v>
      </x:c>
    </x:row>
    <x:row r="11" ht="15" hidden="0" customHeight="1">
      <x:c r="A11" s="54" t="str">
        <x:v>CL-07</x:v>
      </x:c>
      <x:c r="B11" s="54" t="str">
        <x:v>Procedimiento de reversión revisado</x:v>
      </x:c>
      <x:c r="C11" s="54" t="str">
        <x:v>Equipo</x:v>
      </x:c>
      <x:c r="D11" s="64" t="str">
        <x:v>Pendiente</x:v>
      </x:c>
      <x:c r="E11" s="64" t="str">
        <x:v>docs/deployment/reversion.md</x:v>
      </x:c>
      <x:c r="F11" s="54" t="str">
        <x:v>Identificar tag estable</x:v>
      </x:c>
    </x:row>
    <x:row r="12" ht="15" hidden="0" customHeight="1">
      <x:c r="A12" s="47"/>
      <x:c r="B12" s="47"/>
      <x:c r="C12" s="47"/>
      <x:c r="D12" s="47"/>
      <x:c r="E12" s="47"/>
      <x:c r="F12" s="47"/>
    </x:row>
    <x:row r="13" ht="15" hidden="0" customHeight="1">
      <x:c r="A13" s="48" t="str">
        <x:v>Indicador</x:v>
      </x:c>
      <x:c r="B13" s="49" t="str">
        <x:v>Resultado</x:v>
      </x:c>
      <x:c r="C13" s="47"/>
      <x:c r="D13" s="47"/>
      <x:c r="E13" s="47"/>
      <x:c r="F13" s="47"/>
    </x:row>
    <x:row r="14" ht="15" hidden="0" customHeight="1">
      <x:c r="A14" s="50" t="str">
        <x:v>Validaciones</x:v>
      </x:c>
      <x:c r="B14" s="50" t="n">
        <x:f>COUNTA($A$5:$A$11)</x:f>
        <x:v>7</x:v>
      </x:c>
      <x:c r="C14" s="47"/>
      <x:c r="D14" s="47"/>
      <x:c r="E14" s="47"/>
      <x:c r="F14" s="47"/>
    </x:row>
    <x:row r="15" ht="15" hidden="0" customHeight="1">
      <x:c r="A15" s="52" t="str">
        <x:v>Validadas</x:v>
      </x:c>
      <x:c r="B15" s="52" t="n">
        <x:f>COUNTIF($D$5:$D$11,"Validado")</x:f>
        <x:v>1</x:v>
      </x:c>
      <x:c r="C15" s="47"/>
      <x:c r="D15" s="47"/>
      <x:c r="E15" s="47"/>
      <x:c r="F15" s="47"/>
    </x:row>
    <x:row r="16" ht="15" hidden="0" customHeight="1">
      <x:c r="A16" s="54" t="str">
        <x:v>Avance</x:v>
      </x:c>
      <x:c r="B16" s="55" t="n">
        <x:f>IFERROR(B15/B14,0)</x:f>
        <x:v>0.14285714285714285</x:v>
      </x:c>
      <x:c r="C16" s="47"/>
      <x:c r="D16" s="47"/>
      <x:c r="E16" s="47"/>
      <x:c r="F16" s="47"/>
    </x:row>
  </x:sheetData>
  <x:mergeCells>
    <x:mergeCell ref="A1:F1"/>
    <x:mergeCell ref="A2:F2"/>
  </x:mergeCells>
  <x:conditionalFormatting sqref="D5:D11">
    <x:cfRule type="containsText" dxfId="9" priority="1" operator="containsText" text="Validado"/>
    <x:cfRule type="containsText" dxfId="10" priority="2" operator="containsText" text="Pendiente"/>
  </x:conditionalFormatting>
  <x:dataValidations count="1">
    <x:dataValidation type="list" sqref="D5:D11">
      <x:formula1>"Pendiente,En revisión,Validado,No aplica"</x:formula1>
    </x:dataValidation>
  </x:dataValidations>
  <x:pageMargins left="0.7" right="0.7" top="0.75" bottom="0.75" header="0.3" footer="0.3"/>
</x:worksheet>
</file>