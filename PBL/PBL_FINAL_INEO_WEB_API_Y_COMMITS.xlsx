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60ee690e9f4f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lculos" sheetId="1" r:id="R39ce56967fd24af0"/>
    <x:sheet xmlns:r="http://schemas.openxmlformats.org/officeDocument/2006/relationships" name="Resumen" sheetId="2" r:id="Re1f4312eab10435f"/>
    <x:sheet xmlns:r="http://schemas.openxmlformats.org/officeDocument/2006/relationships" name="PBL Completo" sheetId="3" r:id="Ra68e077fc2a84c1c"/>
    <x:sheet xmlns:r="http://schemas.openxmlformats.org/officeDocument/2006/relationships" name="Matriz Web API" sheetId="4" r:id="Rec0c528cdbe8469d"/>
    <x:sheet xmlns:r="http://schemas.openxmlformats.org/officeDocument/2006/relationships" name="Commits por integrante" sheetId="5" r:id="Rf9fd5c62e7df4f20"/>
    <x:sheet xmlns:r="http://schemas.openxmlformats.org/officeDocument/2006/relationships" name="Evidencia GitHub" sheetId="6" r:id="Ra702e34c2b294452"/>
    <x:sheet xmlns:r="http://schemas.openxmlformats.org/officeDocument/2006/relationships" name="Hallazgos QA" sheetId="7" r:id="R3bc11846f09a4217"/>
    <x:sheet xmlns:r="http://schemas.openxmlformats.org/officeDocument/2006/relationships" name="Definición de terminado" sheetId="8" r:id="R8cd4abfcbd2d4d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2">
    <x:font>
      <x:sz val="11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8"/>
      <x:color rgb="FFFFFFFF"/>
      <x:name val="Carlito"/>
    </x:font>
    <x:font>
      <x:i/>
      <x:sz val="11"/>
      <x:color rgb="FF3730A3"/>
      <x:name val="Carlito"/>
    </x:font>
    <x:font>
      <x:sz val="11"/>
      <x:color rgb="FF334155"/>
      <x:name val="Carlito"/>
    </x:font>
    <x:font>
      <x:b/>
      <x:sz val="11"/>
      <x:color rgb="FFFFFFFF"/>
      <x:name val="Aptos"/>
    </x:font>
    <x:font>
      <x:sz val="10"/>
      <x:color rgb="FF1F2937"/>
      <x:name val="Aptos"/>
    </x:font>
    <x:font>
      <x:b/>
      <x:sz val="18"/>
      <x:color rgb="FFFFFFFF"/>
      <x:name val="Aptos"/>
    </x:font>
    <x:font>
      <x:sz val="11"/>
      <x:name val="Aptos"/>
    </x:font>
    <x:font>
      <x:i/>
      <x:sz val="11"/>
      <x:color rgb="FF3730A3"/>
      <x:name val="Aptos"/>
    </x:font>
    <x:font>
      <x:sz val="11"/>
      <x:color rgb="FF334155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4338CA"/>
      </x:patternFill>
    </x:fill>
    <x:fill>
      <x:patternFill patternType="solid">
        <x:fgColor rgb="FF312E81"/>
      </x:patternFill>
    </x:fill>
    <x:fill>
      <x:patternFill patternType="solid">
        <x:fgColor rgb="FFEEF2FF"/>
      </x:patternFill>
    </x:fill>
    <x:fill>
      <x:patternFill patternType="solid">
        <x:fgColor rgb="FFF8FAFC"/>
      </x:patternFill>
    </x:fill>
  </x:fills>
  <x:borders count="12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10" xfId="0" applyNumberFormat="1" applyFont="1" applyFill="1" applyBorder="1"/>
    <x:xf numFmtId="0" fontId="5" fillId="5" borderId="11" xfId="0" applyNumberFormat="1" applyFont="1" applyFill="1" applyBorder="1"/>
    <x:xf numFmtId="0" fontId="5" fillId="5" borderId="4" xfId="0" applyNumberFormat="1" applyFont="1" applyFill="1" applyBorder="1" applyAlignment="1">
      <x:alignment wrapText="1"/>
    </x:xf>
    <x:xf numFmtId="0" fontId="5" fillId="5" borderId="5" xfId="0" applyNumberFormat="1" applyFont="1" applyFill="1" applyBorder="1" applyAlignment="1">
      <x:alignment wrapText="1"/>
    </x:xf>
    <x:xf numFmtId="0" fontId="5" fillId="5" borderId="6" xfId="0" applyNumberFormat="1" applyFont="1" applyFill="1" applyBorder="1" applyAlignment="1">
      <x:alignment wrapText="1"/>
    </x:xf>
    <x:xf numFmtId="0" fontId="5" fillId="5" borderId="7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  <x:xf numFmtId="0" fontId="5" fillId="5" borderId="8" xfId="0" applyNumberFormat="1" applyFont="1" applyFill="1" applyBorder="1" applyAlignment="1">
      <x:alignment wrapText="1"/>
    </x:xf>
    <x:xf numFmtId="0" fontId="5" fillId="5" borderId="9" xfId="0" applyNumberFormat="1" applyFont="1" applyFill="1" applyBorder="1" applyAlignment="1">
      <x:alignment wrapText="1"/>
    </x:xf>
    <x:xf numFmtId="0" fontId="5" fillId="5" borderId="10" xfId="0" applyNumberFormat="1" applyFont="1" applyFill="1" applyBorder="1" applyAlignment="1">
      <x:alignment wrapText="1"/>
    </x:xf>
    <x:xf numFmtId="0" fontId="5" fillId="5" borderId="11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5" fillId="5" borderId="7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8" xfId="0" applyNumberFormat="1" applyFont="1" applyFill="1" applyBorder="1" applyAlignment="1">
      <x:alignment vertical="top" wrapText="1"/>
    </x:xf>
    <x:xf numFmtId="0" fontId="5" fillId="5" borderId="9" xfId="0" applyNumberFormat="1" applyFont="1" applyFill="1" applyBorder="1" applyAlignment="1">
      <x:alignment vertical="top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 wrapText="1"/>
    </x:xf>
    <x:xf numFmtId="0" fontId="7" fillId="0" borderId="1" xfId="0" applyNumberFormat="1" applyFont="1" applyFill="1" applyBorder="1" applyAlignment="1">
      <x:alignment vertical="top" wrapText="1"/>
    </x:xf>
    <x:xf numFmtId="0" fontId="7" fillId="0" borderId="2" xfId="0" applyNumberFormat="1" applyFont="1" applyFill="1" applyBorder="1" applyAlignment="1">
      <x:alignment vertical="top" wrapText="1"/>
    </x:xf>
    <x:xf numFmtId="0" fontId="7" fillId="0" borderId="3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1" fillId="5" borderId="4" xfId="0" applyNumberFormat="1" applyFont="1" applyFill="1" applyBorder="1" applyAlignment="1">
      <x:alignment vertical="top" wrapText="1"/>
    </x:xf>
    <x:xf numFmtId="0" fontId="11" fillId="5" borderId="5" xfId="0" applyNumberFormat="1" applyFont="1" applyFill="1" applyBorder="1" applyAlignment="1">
      <x:alignment vertical="top" wrapText="1"/>
    </x:xf>
    <x:xf numFmtId="0" fontId="11" fillId="5" borderId="6" xfId="0" applyNumberFormat="1" applyFont="1" applyFill="1" applyBorder="1" applyAlignment="1">
      <x:alignment vertical="top" wrapText="1"/>
    </x:xf>
    <x:xf numFmtId="0" fontId="11" fillId="5" borderId="7" xfId="0" applyNumberFormat="1" applyFont="1" applyFill="1" applyBorder="1" applyAlignment="1">
      <x:alignment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5" borderId="8" xfId="0" applyNumberFormat="1" applyFont="1" applyFill="1" applyBorder="1" applyAlignment="1">
      <x:alignment vertical="top" wrapText="1"/>
    </x:xf>
    <x:xf numFmtId="0" fontId="11" fillId="5" borderId="9" xfId="0" applyNumberFormat="1" applyFont="1" applyFill="1" applyBorder="1" applyAlignment="1">
      <x:alignment vertical="top" wrapText="1"/>
    </x:xf>
    <x:xf numFmtId="0" fontId="11" fillId="5" borderId="10" xfId="0" applyNumberFormat="1" applyFont="1" applyFill="1" applyBorder="1" applyAlignment="1">
      <x:alignment vertical="top" wrapText="1"/>
    </x:xf>
    <x:xf numFmtId="0" fontId="11" fillId="5" borderId="1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 applyAlignment="1">
      <x:alignment wrapText="0"/>
    </x:xf>
    <x:xf numFmtId="200" fontId="9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af675422dc4959" /><Relationship Type="http://schemas.openxmlformats.org/officeDocument/2006/relationships/theme" Target="/xl/theme/theme1.xml" Id="Rd4c09ad7ab114d64" /><Relationship Type="http://schemas.openxmlformats.org/officeDocument/2006/relationships/sharedStrings" Target="/xl/sharedStrings.xml" Id="R07d0e0c982b04915" /><Relationship Type="http://schemas.openxmlformats.org/officeDocument/2006/relationships/worksheet" Target="/xl/worksheets/sheet1.xml" Id="R39ce56967fd24af0" /><Relationship Type="http://schemas.openxmlformats.org/officeDocument/2006/relationships/worksheet" Target="/xl/worksheets/sheet2.xml" Id="Re1f4312eab10435f" /><Relationship Type="http://schemas.openxmlformats.org/officeDocument/2006/relationships/worksheet" Target="/xl/worksheets/sheet3.xml" Id="Ra68e077fc2a84c1c" /><Relationship Type="http://schemas.openxmlformats.org/officeDocument/2006/relationships/worksheet" Target="/xl/worksheets/sheet4.xml" Id="Rec0c528cdbe8469d" /><Relationship Type="http://schemas.openxmlformats.org/officeDocument/2006/relationships/worksheet" Target="/xl/worksheets/sheet5.xml" Id="Rf9fd5c62e7df4f20" /><Relationship Type="http://schemas.openxmlformats.org/officeDocument/2006/relationships/worksheet" Target="/xl/worksheets/sheet6.xml" Id="Ra702e34c2b294452" /><Relationship Type="http://schemas.openxmlformats.org/officeDocument/2006/relationships/worksheet" Target="/xl/worksheets/sheet7.xml" Id="R3bc11846f09a4217" /><Relationship Type="http://schemas.openxmlformats.org/officeDocument/2006/relationships/worksheet" Target="/xl/worksheets/sheet8.xml" Id="R8cd4abfcbd2d4dee" /><Relationship Type="http://schemas.microsoft.com/office/2017/10/relationships/person" Target="/xl/persons/person.xml" Id="R1a850ff79f1e48e1" /></Relationships>
</file>

<file path=xl/persons/person.xml><?xml version="1.0" encoding="utf-8"?>
<xltc:personList xmlns:xltc="http://schemas.microsoft.com/office/spreadsheetml/2018/threadedcomments">
  <xltc:person displayName="Joel Lara" id="{01F819D9-2BF5-40AB-A0F9-D6634F4EF95B}"/>
</xltc:personList>
</file>

<file path=xl/tables/table1.xml><?xml version="1.0" encoding="utf-8"?>
<x:table xmlns:x="http://schemas.openxmlformats.org/spreadsheetml/2006/main" id="1" name="PBLTable" displayName="PBLTable" ref="A4:L58" headerRowCount="1" totalsRowCount="0" totalsRowShown="0">
  <x:tableColumns count="12">
    <x:tableColumn id="1" name="Sprint"/>
    <x:tableColumn id="2" name="ID"/>
    <x:tableColumn id="3" name="Epic / Feature"/>
    <x:tableColumn id="4" name="Historia o tarea"/>
    <x:tableColumn id="5" name="Repositorio"/>
    <x:tableColumn id="6" name="Componente"/>
    <x:tableColumn id="7" name="Responsable"/>
    <x:tableColumn id="8" name="Estado"/>
    <x:tableColumn id="9" name="Prioridad"/>
    <x:tableColumn id="10" name="Puntos"/>
    <x:tableColumn id="11" name="Criterios de aceptación"/>
    <x:tableColumn id="12" name="Evidencia / observació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trixTable" displayName="MatrixTable" ref="A4:G14" headerRowCount="1" totalsRowCount="0" totalsRowShown="0">
  <x:tableColumns count="7">
    <x:tableColumn id="1" name="Módulo"/>
    <x:tableColumn id="2" name="Web"/>
    <x:tableColumn id="3" name="API / endpoint"/>
    <x:tableColumn id="4" name="Estado"/>
    <x:tableColumn id="5" name="Responsable cierre"/>
    <x:tableColumn id="6" name="PBL"/>
    <x:tableColumn id="7" name="Observació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mitPlanTable" displayName="CommitPlanTable" ref="A4:F39" headerRowCount="1" totalsRowCount="0" totalsRowShown="0">
  <x:tableColumns count="6">
    <x:tableColumn id="1" name="Integrante"/>
    <x:tableColumn id="2" name="Repositorio"/>
    <x:tableColumn id="3" name="Historias PBL"/>
    <x:tableColumn id="4" name="Mensaje de commit recomendado"/>
    <x:tableColumn id="5" name="Contenido esperado"/>
    <x:tableColumn id="6" name="Regla / no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videnceTable" displayName="EvidenceTable" ref="A4:G37" headerRowCount="1" totalsRowCount="0" totalsRowShown="0">
  <x:tableColumns count="7">
    <x:tableColumn id="1" name="Repo"/>
    <x:tableColumn id="2" name="SHA"/>
    <x:tableColumn id="3" name="Fecha"/>
    <x:tableColumn id="4" name="Autor registrado"/>
    <x:tableColumn id="5" name="Correo registrado"/>
    <x:tableColumn id="6" name="Mensaje"/>
    <x:tableColumn id="7" name="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Table" displayName="QATable" ref="A4:G15" headerRowCount="1" totalsRowCount="0" totalsRowShown="0">
  <x:tableColumns count="7">
    <x:tableColumn id="1" name="Severidad"/>
    <x:tableColumn id="2" name="Repositorio"/>
    <x:tableColumn id="3" name="Hallazgo"/>
    <x:tableColumn id="4" name="Evidencia"/>
    <x:tableColumn id="5" name="Acción"/>
    <x:tableColumn id="6" name="Responsable"/>
    <x:tableColumn id="7" name="PBL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DoDTable" displayName="DoDTable" ref="A4:D14" headerRowCount="1" totalsRowCount="0" totalsRowShown="0">
  <x:tableColumns count="4">
    <x:tableColumn id="1" name="N.º"/>
    <x:tableColumn id="2" name="Criterio"/>
    <x:tableColumn id="3" name="Aplica a"/>
    <x:tableColumn id="4" name="Evidencia requerid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7c61c7a77914a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c3906b93a8b4c2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2ab4659c25234a2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5a08df5fd1c448a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a4df1403893140b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3db354e9f5d64bc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2" hidden="0" customWidth="1"/>
  </x:cols>
  <x:sheetData>
    <x:row r="1" ht="32" customHeight="1">
      <x:c r="A1" s="51" t="str">
        <x:v>Estado</x:v>
      </x:c>
      <x:c r="B1" s="51" t="str">
        <x:v>Puntos</x:v>
      </x:c>
    </x:row>
    <x:row r="2">
      <x:c r="A2" s="52" t="str">
        <x:v>Terminado</x:v>
      </x:c>
      <x:c r="B2" s="52" t="n">
        <x:v>3</x:v>
      </x:c>
    </x:row>
    <x:row r="3">
      <x:c r="A3" s="53" t="str">
        <x:v>Terminado</x:v>
      </x:c>
      <x:c r="B3" s="53" t="n">
        <x:v>3</x:v>
      </x:c>
    </x:row>
    <x:row r="4">
      <x:c r="A4" s="53" t="str">
        <x:v>Terminado</x:v>
      </x:c>
      <x:c r="B4" s="53" t="n">
        <x:v>3</x:v>
      </x:c>
    </x:row>
    <x:row r="5">
      <x:c r="A5" s="53" t="str">
        <x:v>Terminado</x:v>
      </x:c>
      <x:c r="B5" s="53" t="n">
        <x:v>3</x:v>
      </x:c>
    </x:row>
    <x:row r="6">
      <x:c r="A6" s="53" t="str">
        <x:v>Terminado</x:v>
      </x:c>
      <x:c r="B6" s="53" t="n">
        <x:v>5</x:v>
      </x:c>
    </x:row>
    <x:row r="7">
      <x:c r="A7" s="53" t="str">
        <x:v>Terminado</x:v>
      </x:c>
      <x:c r="B7" s="53" t="n">
        <x:v>3</x:v>
      </x:c>
    </x:row>
    <x:row r="8">
      <x:c r="A8" s="53" t="str">
        <x:v>Terminado</x:v>
      </x:c>
      <x:c r="B8" s="53" t="n">
        <x:v>5</x:v>
      </x:c>
    </x:row>
    <x:row r="9">
      <x:c r="A9" s="53" t="str">
        <x:v>Terminado</x:v>
      </x:c>
      <x:c r="B9" s="53" t="n">
        <x:v>5</x:v>
      </x:c>
    </x:row>
    <x:row r="10">
      <x:c r="A10" s="53" t="str">
        <x:v>En validación</x:v>
      </x:c>
      <x:c r="B10" s="53" t="n">
        <x:v>5</x:v>
      </x:c>
    </x:row>
    <x:row r="11">
      <x:c r="A11" s="53" t="str">
        <x:v>Terminado</x:v>
      </x:c>
      <x:c r="B11" s="53" t="n">
        <x:v>5</x:v>
      </x:c>
    </x:row>
    <x:row r="12">
      <x:c r="A12" s="53" t="str">
        <x:v>Terminado</x:v>
      </x:c>
      <x:c r="B12" s="53" t="n">
        <x:v>5</x:v>
      </x:c>
    </x:row>
    <x:row r="13">
      <x:c r="A13" s="53" t="str">
        <x:v>Terminado</x:v>
      </x:c>
      <x:c r="B13" s="53" t="n">
        <x:v>5</x:v>
      </x:c>
    </x:row>
    <x:row r="14">
      <x:c r="A14" s="53" t="str">
        <x:v>Terminado</x:v>
      </x:c>
      <x:c r="B14" s="53" t="n">
        <x:v>8</x:v>
      </x:c>
    </x:row>
    <x:row r="15">
      <x:c r="A15" s="53" t="str">
        <x:v>Terminado</x:v>
      </x:c>
      <x:c r="B15" s="53" t="n">
        <x:v>5</x:v>
      </x:c>
    </x:row>
    <x:row r="16">
      <x:c r="A16" s="53" t="str">
        <x:v>Terminado</x:v>
      </x:c>
      <x:c r="B16" s="53" t="n">
        <x:v>5</x:v>
      </x:c>
    </x:row>
    <x:row r="17">
      <x:c r="A17" s="53" t="str">
        <x:v>En validación</x:v>
      </x:c>
      <x:c r="B17" s="53" t="n">
        <x:v>5</x:v>
      </x:c>
    </x:row>
    <x:row r="18">
      <x:c r="A18" s="53" t="str">
        <x:v>Terminado</x:v>
      </x:c>
      <x:c r="B18" s="53" t="n">
        <x:v>5</x:v>
      </x:c>
    </x:row>
    <x:row r="19">
      <x:c r="A19" s="53" t="str">
        <x:v>Terminado</x:v>
      </x:c>
      <x:c r="B19" s="53" t="n">
        <x:v>8</x:v>
      </x:c>
    </x:row>
    <x:row r="20">
      <x:c r="A20" s="53" t="str">
        <x:v>Terminado</x:v>
      </x:c>
      <x:c r="B20" s="53" t="n">
        <x:v>5</x:v>
      </x:c>
    </x:row>
    <x:row r="21">
      <x:c r="A21" s="53" t="str">
        <x:v>En validación</x:v>
      </x:c>
      <x:c r="B21" s="53" t="n">
        <x:v>3</x:v>
      </x:c>
    </x:row>
    <x:row r="22">
      <x:c r="A22" s="53" t="str">
        <x:v>Terminado</x:v>
      </x:c>
      <x:c r="B22" s="53" t="n">
        <x:v>5</x:v>
      </x:c>
    </x:row>
    <x:row r="23">
      <x:c r="A23" s="53" t="str">
        <x:v>Terminado</x:v>
      </x:c>
      <x:c r="B23" s="53" t="n">
        <x:v>5</x:v>
      </x:c>
    </x:row>
    <x:row r="24">
      <x:c r="A24" s="53" t="str">
        <x:v>Terminado</x:v>
      </x:c>
      <x:c r="B24" s="53" t="n">
        <x:v>3</x:v>
      </x:c>
    </x:row>
    <x:row r="25">
      <x:c r="A25" s="53" t="str">
        <x:v>Terminado</x:v>
      </x:c>
      <x:c r="B25" s="53" t="n">
        <x:v>5</x:v>
      </x:c>
    </x:row>
    <x:row r="26">
      <x:c r="A26" s="53" t="str">
        <x:v>Terminado</x:v>
      </x:c>
      <x:c r="B26" s="53" t="n">
        <x:v>5</x:v>
      </x:c>
    </x:row>
    <x:row r="27">
      <x:c r="A27" s="53" t="str">
        <x:v>Terminado</x:v>
      </x:c>
      <x:c r="B27" s="53" t="n">
        <x:v>5</x:v>
      </x:c>
    </x:row>
    <x:row r="28">
      <x:c r="A28" s="53" t="str">
        <x:v>Terminado básico</x:v>
      </x:c>
      <x:c r="B28" s="53" t="n">
        <x:v>5</x:v>
      </x:c>
    </x:row>
    <x:row r="29">
      <x:c r="A29" s="53" t="str">
        <x:v>Terminado básico</x:v>
      </x:c>
      <x:c r="B29" s="53" t="n">
        <x:v>5</x:v>
      </x:c>
    </x:row>
    <x:row r="30">
      <x:c r="A30" s="53" t="str">
        <x:v>Terminado</x:v>
      </x:c>
      <x:c r="B30" s="53" t="n">
        <x:v>5</x:v>
      </x:c>
    </x:row>
    <x:row r="31">
      <x:c r="A31" s="53" t="str">
        <x:v>Pendiente</x:v>
      </x:c>
      <x:c r="B31" s="53" t="n">
        <x:v>8</x:v>
      </x:c>
    </x:row>
    <x:row r="32">
      <x:c r="A32" s="53" t="str">
        <x:v>Pendiente</x:v>
      </x:c>
      <x:c r="B32" s="53" t="n">
        <x:v>8</x:v>
      </x:c>
    </x:row>
    <x:row r="33">
      <x:c r="A33" s="53" t="str">
        <x:v>Pendiente</x:v>
      </x:c>
      <x:c r="B33" s="53" t="n">
        <x:v>8</x:v>
      </x:c>
    </x:row>
    <x:row r="34">
      <x:c r="A34" s="53" t="str">
        <x:v>Terminado</x:v>
      </x:c>
      <x:c r="B34" s="53" t="n">
        <x:v>8</x:v>
      </x:c>
    </x:row>
    <x:row r="35">
      <x:c r="A35" s="53" t="str">
        <x:v>Terminado</x:v>
      </x:c>
      <x:c r="B35" s="53" t="n">
        <x:v>8</x:v>
      </x:c>
    </x:row>
    <x:row r="36">
      <x:c r="A36" s="53" t="str">
        <x:v>Terminado</x:v>
      </x:c>
      <x:c r="B36" s="53" t="n">
        <x:v>5</x:v>
      </x:c>
    </x:row>
    <x:row r="37">
      <x:c r="A37" s="53" t="str">
        <x:v>Terminado</x:v>
      </x:c>
      <x:c r="B37" s="53" t="n">
        <x:v>8</x:v>
      </x:c>
    </x:row>
    <x:row r="38">
      <x:c r="A38" s="53" t="str">
        <x:v>Terminado</x:v>
      </x:c>
      <x:c r="B38" s="53" t="n">
        <x:v>8</x:v>
      </x:c>
    </x:row>
    <x:row r="39">
      <x:c r="A39" s="53" t="str">
        <x:v>Terminado</x:v>
      </x:c>
      <x:c r="B39" s="53" t="n">
        <x:v>8</x:v>
      </x:c>
    </x:row>
    <x:row r="40">
      <x:c r="A40" s="53" t="str">
        <x:v>Terminado</x:v>
      </x:c>
      <x:c r="B40" s="53" t="n">
        <x:v>5</x:v>
      </x:c>
    </x:row>
    <x:row r="41">
      <x:c r="A41" s="53" t="str">
        <x:v>En validación</x:v>
      </x:c>
      <x:c r="B41" s="53" t="n">
        <x:v>5</x:v>
      </x:c>
    </x:row>
    <x:row r="42">
      <x:c r="A42" s="53" t="str">
        <x:v>Pendiente</x:v>
      </x:c>
      <x:c r="B42" s="53" t="n">
        <x:v>5</x:v>
      </x:c>
    </x:row>
    <x:row r="43">
      <x:c r="A43" s="53" t="str">
        <x:v>Pendiente</x:v>
      </x:c>
      <x:c r="B43" s="53" t="n">
        <x:v>8</x:v>
      </x:c>
    </x:row>
    <x:row r="44">
      <x:c r="A44" s="53" t="str">
        <x:v>Pendiente</x:v>
      </x:c>
      <x:c r="B44" s="53" t="n">
        <x:v>8</x:v>
      </x:c>
    </x:row>
    <x:row r="45">
      <x:c r="A45" s="53" t="str">
        <x:v>Pendiente</x:v>
      </x:c>
      <x:c r="B45" s="53" t="n">
        <x:v>8</x:v>
      </x:c>
    </x:row>
    <x:row r="46">
      <x:c r="A46" s="53" t="str">
        <x:v>Pendiente</x:v>
      </x:c>
      <x:c r="B46" s="53" t="n">
        <x:v>5</x:v>
      </x:c>
    </x:row>
    <x:row r="47">
      <x:c r="A47" s="53" t="str">
        <x:v>En validación</x:v>
      </x:c>
      <x:c r="B47" s="53" t="n">
        <x:v>5</x:v>
      </x:c>
    </x:row>
    <x:row r="48">
      <x:c r="A48" s="53" t="str">
        <x:v>Pendiente</x:v>
      </x:c>
      <x:c r="B48" s="53" t="n">
        <x:v>5</x:v>
      </x:c>
    </x:row>
    <x:row r="49">
      <x:c r="A49" s="53" t="str">
        <x:v>Pendiente</x:v>
      </x:c>
      <x:c r="B49" s="53" t="n">
        <x:v>5</x:v>
      </x:c>
    </x:row>
    <x:row r="50">
      <x:c r="A50" s="53" t="str">
        <x:v>Pendiente</x:v>
      </x:c>
      <x:c r="B50" s="53" t="n">
        <x:v>5</x:v>
      </x:c>
    </x:row>
    <x:row r="51">
      <x:c r="A51" s="53" t="str">
        <x:v>Pendiente</x:v>
      </x:c>
      <x:c r="B51" s="53" t="n">
        <x:v>8</x:v>
      </x:c>
    </x:row>
    <x:row r="52">
      <x:c r="A52" s="53" t="str">
        <x:v>En validación</x:v>
      </x:c>
      <x:c r="B52" s="53" t="n">
        <x:v>5</x:v>
      </x:c>
    </x:row>
    <x:row r="53">
      <x:c r="A53" s="53" t="str">
        <x:v>Pendiente</x:v>
      </x:c>
      <x:c r="B53" s="53" t="n">
        <x:v>5</x:v>
      </x:c>
    </x:row>
    <x:row r="54">
      <x:c r="A54" s="53" t="str">
        <x:v>Pendiente</x:v>
      </x:c>
      <x:c r="B54" s="53" t="n">
        <x:v>5</x:v>
      </x:c>
    </x:row>
    <x:row r="55">
      <x:c r="A55" s="54" t="str">
        <x:v>Pendiente</x:v>
      </x:c>
      <x:c r="B55" s="54" t="n">
        <x:v>5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3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</x:cols>
  <x:sheetData>
    <x:row r="1" ht="30" customHeight="1">
      <x:c r="A1" s="55" t="str">
        <x:v>PBL FINAL — INEO React Web + API</x:v>
      </x:c>
      <x:c r="B1" s="56"/>
      <x:c r="C1" s="56"/>
      <x:c r="D1" s="56"/>
      <x:c r="E1" s="56"/>
      <x:c r="F1" s="56"/>
      <x:c r="G1" s="56"/>
      <x:c r="H1" s="56"/>
      <x:c r="I1" s="56"/>
      <x:c r="J1" s="56"/>
    </x:row>
    <x:row r="2" ht="32" customHeight="1">
      <x:c r="A2" s="57" t="str">
        <x:v>Auditoría de main al 2026-08-08. Los estados se basan en evidencia encontrada; “Pendiente” requiere commit real.</x:v>
      </x:c>
      <x:c r="B2" s="56"/>
      <x:c r="C2" s="56"/>
      <x:c r="D2" s="56"/>
      <x:c r="E2" s="56"/>
      <x:c r="F2" s="56"/>
      <x:c r="G2" s="56"/>
      <x:c r="H2" s="56"/>
      <x:c r="I2" s="56"/>
      <x:c r="J2" s="56"/>
    </x:row>
    <x:row r="3">
      <x:c r="A3" s="56"/>
      <x:c r="B3" s="56"/>
      <x:c r="C3" s="56"/>
      <x:c r="D3" s="56"/>
      <x:c r="E3" s="56"/>
      <x:c r="F3" s="56"/>
      <x:c r="G3" s="56"/>
      <x:c r="H3" s="56"/>
      <x:c r="I3" s="56"/>
      <x:c r="J3" s="56"/>
    </x:row>
    <x:row r="4" ht="32" customHeight="1">
      <x:c r="A4" s="51" t="str">
        <x:v>Indicador</x:v>
      </x:c>
      <x:c r="B4" s="51" t="str">
        <x:v>Valor</x:v>
      </x:c>
      <x:c r="C4" s="56"/>
      <x:c r="D4" s="51" t="str">
        <x:v>Resultado de auditoría</x:v>
      </x:c>
      <x:c r="E4" s="51"/>
      <x:c r="F4" s="51"/>
      <x:c r="G4" s="51"/>
      <x:c r="H4" s="51"/>
      <x:c r="I4" s="51"/>
      <x:c r="J4" s="51"/>
    </x:row>
    <x:row r="5">
      <x:c r="A5" s="52" t="str">
        <x:v>Historias totales</x:v>
      </x:c>
      <x:c r="B5" s="52" t="n">
        <x:v>54</x:v>
      </x:c>
      <x:c r="C5" s="56"/>
      <x:c r="D5" s="58" t="str">
        <x:v>El sistema cubre la migración principal de React web y una API Flask amplia. Pacientes, Administrativo, Médico, Estudios, Configuración y la base de Enfermería tienen implementación visible. Para afirmar “proyecto completo” con trazabilidad aún deben cerrarse pruebas automatizadas, CI, documentación, seguridad de secretos, validaciones clínicas avanzadas, hoja consolidada de Enfermería y la integración Spark. No deben fabricarse commits vacíos ni reescribir autores: cada commit nuevo debe contener un cambio o evidencia real.</x:v>
      </x:c>
      <x:c r="E5" s="59"/>
      <x:c r="F5" s="59"/>
      <x:c r="G5" s="59"/>
      <x:c r="H5" s="59"/>
      <x:c r="I5" s="59"/>
      <x:c r="J5" s="60"/>
    </x:row>
    <x:row r="6">
      <x:c r="A6" s="53" t="str">
        <x:v>Terminado / básico</x:v>
      </x:c>
      <x:c r="B6" s="53" t="n">
        <x:f>COUNTIF(Calculos!$A$2:$A$55,"Terminado")+COUNTIF(Calculos!$A$2:$A$55,"Terminado básico")</x:f>
        <x:v>33</x:v>
      </x:c>
      <x:c r="C6" s="56"/>
      <x:c r="D6" s="61"/>
      <x:c r="E6" s="62"/>
      <x:c r="F6" s="62"/>
      <x:c r="G6" s="62"/>
      <x:c r="H6" s="62"/>
      <x:c r="I6" s="62"/>
      <x:c r="J6" s="63"/>
    </x:row>
    <x:row r="7">
      <x:c r="A7" s="53" t="str">
        <x:v>En validación</x:v>
      </x:c>
      <x:c r="B7" s="53" t="n">
        <x:f>COUNTIF(Calculos!$A$2:$A$55,"En validación")</x:f>
        <x:v>6</x:v>
      </x:c>
      <x:c r="C7" s="56"/>
      <x:c r="D7" s="61"/>
      <x:c r="E7" s="62"/>
      <x:c r="F7" s="62"/>
      <x:c r="G7" s="62"/>
      <x:c r="H7" s="62"/>
      <x:c r="I7" s="62"/>
      <x:c r="J7" s="63"/>
    </x:row>
    <x:row r="8">
      <x:c r="A8" s="53" t="str">
        <x:v>Pendiente</x:v>
      </x:c>
      <x:c r="B8" s="53" t="n">
        <x:f>COUNTIF(Calculos!$A$2:$A$55,"Pendiente")</x:f>
        <x:v>15</x:v>
      </x:c>
      <x:c r="C8" s="56"/>
      <x:c r="D8" s="61"/>
      <x:c r="E8" s="62"/>
      <x:c r="F8" s="62"/>
      <x:c r="G8" s="62"/>
      <x:c r="H8" s="62"/>
      <x:c r="I8" s="62"/>
      <x:c r="J8" s="63"/>
    </x:row>
    <x:row r="9">
      <x:c r="A9" s="53" t="str">
        <x:v>Story points</x:v>
      </x:c>
      <x:c r="B9" s="53" t="n">
        <x:f>SUM(Calculos!$B$2:$B$55)</x:f>
        <x:v>298</x:v>
      </x:c>
      <x:c r="C9" s="56"/>
      <x:c r="D9" s="61"/>
      <x:c r="E9" s="62"/>
      <x:c r="F9" s="62"/>
      <x:c r="G9" s="62"/>
      <x:c r="H9" s="62"/>
      <x:c r="I9" s="62"/>
      <x:c r="J9" s="63"/>
    </x:row>
    <x:row r="10">
      <x:c r="A10" s="54" t="str">
        <x:v>Repositorios</x:v>
      </x:c>
      <x:c r="B10" s="54" t="n">
        <x:v>2</x:v>
      </x:c>
      <x:c r="C10" s="56"/>
      <x:c r="D10" s="64"/>
      <x:c r="E10" s="65"/>
      <x:c r="F10" s="65"/>
      <x:c r="G10" s="65"/>
      <x:c r="H10" s="65"/>
      <x:c r="I10" s="65"/>
      <x:c r="J10" s="66"/>
    </x:row>
    <x:row r="11">
      <x:c r="A11" s="56"/>
      <x:c r="B11" s="56"/>
      <x:c r="C11" s="56"/>
      <x:c r="D11" s="56"/>
      <x:c r="E11" s="56"/>
      <x:c r="F11" s="56"/>
      <x:c r="G11" s="56"/>
      <x:c r="H11" s="56"/>
      <x:c r="I11" s="56"/>
      <x:c r="J11" s="56"/>
    </x:row>
    <x:row r="12" ht="32" customHeight="1">
      <x:c r="A12" s="51" t="str">
        <x:v>Fuentes verificadas</x:v>
      </x:c>
      <x:c r="B12" s="51"/>
      <x:c r="C12" s="51"/>
      <x:c r="D12" s="51"/>
      <x:c r="E12" s="51"/>
      <x:c r="F12" s="51"/>
      <x:c r="G12" s="51"/>
      <x:c r="H12" s="51"/>
      <x:c r="I12" s="51"/>
      <x:c r="J12" s="51"/>
    </x:row>
    <x:row r="13">
      <x:c r="A13" s="67" t="str">
        <x:v>https://github.com/JoelLara10/clinica-web-react</x:v>
      </x:c>
      <x:c r="B13" s="56"/>
      <x:c r="C13" s="56"/>
      <x:c r="D13" s="56"/>
      <x:c r="E13" s="56"/>
      <x:c r="F13" s="56"/>
      <x:c r="G13" s="56"/>
      <x:c r="H13" s="56"/>
      <x:c r="I13" s="56"/>
      <x:c r="J13" s="56"/>
    </x:row>
    <x:row r="14">
      <x:c r="A14" s="67" t="str">
        <x:v>https://github.com/jaimediaz25/api_hospital</x:v>
      </x:c>
      <x:c r="B14" s="56"/>
      <x:c r="C14" s="56"/>
      <x:c r="D14" s="56"/>
      <x:c r="E14" s="56"/>
      <x:c r="F14" s="56"/>
      <x:c r="G14" s="56"/>
      <x:c r="H14" s="56"/>
      <x:c r="I14" s="56"/>
      <x:c r="J14" s="56"/>
    </x:row>
  </x:sheetData>
  <x:mergeCells>
    <x:mergeCell ref="A1:J1"/>
    <x:mergeCell ref="A2:J2"/>
    <x:mergeCell ref="D4:J4"/>
    <x:mergeCell ref="D5:J10"/>
    <x:mergeCell ref="A12:J12"/>
    <x:mergeCell ref="A13:J13"/>
    <x:mergeCell ref="A14:J14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4" max="4" width="44" hidden="0" customWidth="1"/>
    <x:col min="11" max="11" width="48" hidden="0" customWidth="1"/>
    <x:col min="12" max="12" width="48" hidden="0" customWidth="1"/>
  </x:cols>
  <x:sheetData>
    <x:row r="1" ht="30" customHeight="1">
      <x:c r="A1" s="55" t="str">
        <x:v>BACKLOG MAESTRO FINAL</x:v>
      </x:c>
      <x:c r="B1" s="56"/>
      <x:c r="C1" s="56"/>
      <x:c r="D1" s="56"/>
      <x:c r="E1" s="56"/>
      <x:c r="F1" s="56"/>
      <x:c r="G1" s="56"/>
      <x:c r="H1" s="56"/>
      <x:c r="I1" s="56"/>
      <x:c r="J1" s="68"/>
      <x:c r="K1" s="56"/>
      <x:c r="L1" s="56"/>
    </x:row>
    <x:row r="2" ht="32" customHeight="1">
      <x:c r="A2" s="57" t="str">
        <x:v>Incluye frontend, API, diseño, documentación, calidad, seguridad y cierre. Filtrar por responsable, estado, sprint o repositorio.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</x:row>
    <x:row r="3">
      <x:c r="A3" s="56"/>
      <x:c r="B3" s="56"/>
      <x:c r="C3" s="56"/>
      <x:c r="D3" s="56"/>
      <x:c r="E3" s="56"/>
      <x:c r="F3" s="56"/>
      <x:c r="G3" s="56"/>
      <x:c r="H3" s="56"/>
      <x:c r="I3" s="56"/>
      <x:c r="J3" s="56"/>
      <x:c r="K3" s="56"/>
      <x:c r="L3" s="56"/>
    </x:row>
    <x:row r="4" ht="32" customHeight="1">
      <x:c r="A4" s="51" t="str">
        <x:v>Sprint</x:v>
      </x:c>
      <x:c r="B4" s="51" t="str">
        <x:v>ID</x:v>
      </x:c>
      <x:c r="C4" s="51" t="str">
        <x:v>Epic / Feature</x:v>
      </x:c>
      <x:c r="D4" s="51" t="str">
        <x:v>Historia o tarea</x:v>
      </x:c>
      <x:c r="E4" s="51" t="str">
        <x:v>Repositorio</x:v>
      </x:c>
      <x:c r="F4" s="51" t="str">
        <x:v>Componente</x:v>
      </x:c>
      <x:c r="G4" s="51" t="str">
        <x:v>Responsable</x:v>
      </x:c>
      <x:c r="H4" s="51" t="str">
        <x:v>Estado</x:v>
      </x:c>
      <x:c r="I4" s="51" t="str">
        <x:v>Prioridad</x:v>
      </x:c>
      <x:c r="J4" s="51" t="str">
        <x:v>Puntos</x:v>
      </x:c>
      <x:c r="K4" s="51" t="str">
        <x:v>Criterios de aceptación</x:v>
      </x:c>
      <x:c r="L4" s="51" t="str">
        <x:v>Evidencia / observación</x:v>
      </x:c>
    </x:row>
    <x:row r="5">
      <x:c r="A5" s="52" t="str">
        <x:v>Sprint 1</x:v>
      </x:c>
      <x:c r="B5" s="52" t="str">
        <x:v>MIG-001</x:v>
      </x:c>
      <x:c r="C5" s="52" t="str">
        <x:v>Arquitectura y migración</x:v>
      </x:c>
      <x:c r="D5" s="52" t="str">
        <x:v>Inventariar módulos, vistas, colecciones y reglas del sistema Flask/MongoDB original.</x:v>
      </x:c>
      <x:c r="E5" s="52" t="str">
        <x:v>Ambos</x:v>
      </x:c>
      <x:c r="F5" s="52" t="str">
        <x:v>Documentación</x:v>
      </x:c>
      <x:c r="G5" s="52" t="str">
        <x:v>Jesús</x:v>
      </x:c>
      <x:c r="H5" s="52" t="str">
        <x:v>Terminado</x:v>
      </x:c>
      <x:c r="I5" s="52" t="str">
        <x:v>Must</x:v>
      </x:c>
      <x:c r="J5" s="52" t="n">
        <x:v>3</x:v>
      </x:c>
      <x:c r="K5" s="52" t="str">
        <x:v>Inventario de Médico, Estudios, Administrativo, Configuración, Enfermería y Pacientes; relación con MongoDB.</x:v>
      </x:c>
      <x:c r="L5" s="52" t="str">
        <x:v>Documentación del proyecto y estructura de ambos repositorios.</x:v>
      </x:c>
    </x:row>
    <x:row r="6">
      <x:c r="A6" s="53" t="str">
        <x:v>Sprint 1</x:v>
      </x:c>
      <x:c r="B6" s="53" t="str">
        <x:v>MIG-002</x:v>
      </x:c>
      <x:c r="C6" s="53" t="str">
        <x:v>Arquitectura y migración</x:v>
      </x:c>
      <x:c r="D6" s="53" t="str">
        <x:v>Definir la arquitectura React web + API Flask + MongoDB.</x:v>
      </x:c>
      <x:c r="E6" s="53" t="str">
        <x:v>Ambos</x:v>
      </x:c>
      <x:c r="F6" s="53" t="str">
        <x:v>Arquitectura</x:v>
      </x:c>
      <x:c r="G6" s="53" t="str">
        <x:v>Jesús</x:v>
      </x:c>
      <x:c r="H6" s="53" t="str">
        <x:v>Terminado</x:v>
      </x:c>
      <x:c r="I6" s="53" t="str">
        <x:v>Must</x:v>
      </x:c>
      <x:c r="J6" s="53" t="n">
        <x:v>3</x:v>
      </x:c>
      <x:c r="K6" s="53" t="str">
        <x:v>Responsabilidades de frontend, API y base de datos diferenciadas; diagrama aprobado.</x:v>
      </x:c>
      <x:c r="L6" s="53" t="str">
        <x:v>React/Vite en web; Flask y servicios MongoDB en API.</x:v>
      </x:c>
    </x:row>
    <x:row r="7">
      <x:c r="A7" s="53" t="str">
        <x:v>Sprint 1</x:v>
      </x:c>
      <x:c r="B7" s="53" t="str">
        <x:v>MIG-003</x:v>
      </x:c>
      <x:c r="C7" s="53" t="str">
        <x:v>Base React</x:v>
      </x:c>
      <x:c r="D7" s="53" t="str">
        <x:v>Crear el proyecto web con React, JavaScript y Vite.</x:v>
      </x:c>
      <x:c r="E7" s="53" t="str">
        <x:v>Web</x:v>
      </x:c>
      <x:c r="F7" s="53" t="str">
        <x:v>Frontend</x:v>
      </x:c>
      <x:c r="G7" s="53" t="str">
        <x:v>Joel</x:v>
      </x:c>
      <x:c r="H7" s="53" t="str">
        <x:v>Terminado</x:v>
      </x:c>
      <x:c r="I7" s="53" t="str">
        <x:v>Must</x:v>
      </x:c>
      <x:c r="J7" s="53" t="n">
        <x:v>3</x:v>
      </x:c>
      <x:c r="K7" s="53" t="str">
        <x:v>npm run dev y npm run build funcionan; existe package.json y punto de entrada.</x:v>
      </x:c>
      <x:c r="L7" s="53" t="str">
        <x:v>package.json, src/main.jsx, src/App.jsx.</x:v>
      </x:c>
    </x:row>
    <x:row r="8">
      <x:c r="A8" s="53" t="str">
        <x:v>Sprint 1</x:v>
      </x:c>
      <x:c r="B8" s="53" t="str">
        <x:v>MIG-004</x:v>
      </x:c>
      <x:c r="C8" s="53" t="str">
        <x:v>Base React</x:v>
      </x:c>
      <x:c r="D8" s="53" t="str">
        <x:v>Organizar componentes, páginas, contextos, servicios y rutas por módulo.</x:v>
      </x:c>
      <x:c r="E8" s="53" t="str">
        <x:v>Web</x:v>
      </x:c>
      <x:c r="F8" s="53" t="str">
        <x:v>Frontend</x:v>
      </x:c>
      <x:c r="G8" s="53" t="str">
        <x:v>Joel</x:v>
      </x:c>
      <x:c r="H8" s="53" t="str">
        <x:v>Terminado</x:v>
      </x:c>
      <x:c r="I8" s="53" t="str">
        <x:v>Must</x:v>
      </x:c>
      <x:c r="J8" s="53" t="n">
        <x:v>3</x:v>
      </x:c>
      <x:c r="K8" s="53" t="str">
        <x:v>Estructura modular; servicios separados de vistas; archivos JSX web.</x:v>
      </x:c>
      <x:c r="L8" s="53" t="str">
        <x:v>src/components, pages, context, services, router.</x:v>
      </x:c>
    </x:row>
    <x:row r="9">
      <x:c r="A9" s="53" t="str">
        <x:v>Sprint 1</x:v>
      </x:c>
      <x:c r="B9" s="53" t="str">
        <x:v>MIG-005</x:v>
      </x:c>
      <x:c r="C9" s="53" t="str">
        <x:v>Navegación</x:v>
      </x:c>
      <x:c r="D9" s="53" t="str">
        <x:v>Implementar React Router, rutas privadas y redirecciones.</x:v>
      </x:c>
      <x:c r="E9" s="53" t="str">
        <x:v>Web</x:v>
      </x:c>
      <x:c r="F9" s="53" t="str">
        <x:v>Frontend</x:v>
      </x:c>
      <x:c r="G9" s="53" t="str">
        <x:v>Joel</x:v>
      </x:c>
      <x:c r="H9" s="53" t="str">
        <x:v>Terminado</x:v>
      </x:c>
      <x:c r="I9" s="53" t="str">
        <x:v>Must</x:v>
      </x:c>
      <x:c r="J9" s="53" t="n">
        <x:v>5</x:v>
      </x:c>
      <x:c r="K9" s="53" t="str">
        <x:v>Rutas privadas; redirección a login; ruta desconocida vuelve al inicio.</x:v>
      </x:c>
      <x:c r="L9" s="53" t="str">
        <x:v>src/router/AppRouter.jsx.</x:v>
      </x:c>
    </x:row>
    <x:row r="10">
      <x:c r="A10" s="53" t="str">
        <x:v>Sprint 1</x:v>
      </x:c>
      <x:c r="B10" s="53" t="str">
        <x:v>MIG-006</x:v>
      </x:c>
      <x:c r="C10" s="53" t="str">
        <x:v>Integración</x:v>
      </x:c>
      <x:c r="D10" s="53" t="str">
        <x:v>Centralizar Axios, URL de API y encabezado JWT.</x:v>
      </x:c>
      <x:c r="E10" s="53" t="str">
        <x:v>Web</x:v>
      </x:c>
      <x:c r="F10" s="53" t="str">
        <x:v>Integración</x:v>
      </x:c>
      <x:c r="G10" s="53" t="str">
        <x:v>Joel</x:v>
      </x:c>
      <x:c r="H10" s="53" t="str">
        <x:v>Terminado</x:v>
      </x:c>
      <x:c r="I10" s="53" t="str">
        <x:v>Must</x:v>
      </x:c>
      <x:c r="J10" s="53" t="n">
        <x:v>3</x:v>
      </x:c>
      <x:c r="K10" s="53" t="str">
        <x:v>Cliente único; URL configurable; Authorization agregado automáticamente.</x:v>
      </x:c>
      <x:c r="L10" s="53" t="str">
        <x:v>src/services/api.js.</x:v>
      </x:c>
    </x:row>
    <x:row r="11">
      <x:c r="A11" s="53" t="str">
        <x:v>Sprint 1</x:v>
      </x:c>
      <x:c r="B11" s="53" t="str">
        <x:v>MIG-007</x:v>
      </x:c>
      <x:c r="C11" s="53" t="str">
        <x:v>API base</x:v>
      </x:c>
      <x:c r="D11" s="53" t="str">
        <x:v>Crear fábrica Flask, CORS, blueprints, prefijo /api/v1 y health check.</x:v>
      </x:c>
      <x:c r="E11" s="53" t="str">
        <x:v>API</x:v>
      </x:c>
      <x:c r="F11" s="53" t="str">
        <x:v>Backend</x:v>
      </x:c>
      <x:c r="G11" s="53" t="str">
        <x:v>Zahid</x:v>
      </x:c>
      <x:c r="H11" s="53" t="str">
        <x:v>Terminado</x:v>
      </x:c>
      <x:c r="I11" s="53" t="str">
        <x:v>Must</x:v>
      </x:c>
      <x:c r="J11" s="53" t="n">
        <x:v>5</x:v>
      </x:c>
      <x:c r="K11" s="53" t="str">
        <x:v>Aplicación inicia; blueprints registrados; /health responde; CORS configurado.</x:v>
      </x:c>
      <x:c r="L11" s="53" t="str">
        <x:v>app.py y config.py.</x:v>
      </x:c>
    </x:row>
    <x:row r="12">
      <x:c r="A12" s="53" t="str">
        <x:v>Sprint 1</x:v>
      </x:c>
      <x:c r="B12" s="53" t="str">
        <x:v>MIG-008</x:v>
      </x:c>
      <x:c r="C12" s="53" t="str">
        <x:v>Autenticación</x:v>
      </x:c>
      <x:c r="D12" s="53" t="str">
        <x:v>Implementar login JWT, sesión, cierre y consulta del usuario actual.</x:v>
      </x:c>
      <x:c r="E12" s="53" t="str">
        <x:v>Ambos</x:v>
      </x:c>
      <x:c r="F12" s="53" t="str">
        <x:v>Seguridad</x:v>
      </x:c>
      <x:c r="G12" s="53" t="str">
        <x:v>Joel / Zahid</x:v>
      </x:c>
      <x:c r="H12" s="53" t="str">
        <x:v>Terminado</x:v>
      </x:c>
      <x:c r="I12" s="53" t="str">
        <x:v>Must</x:v>
      </x:c>
      <x:c r="J12" s="53" t="n">
        <x:v>5</x:v>
      </x:c>
      <x:c r="K12" s="53" t="str">
        <x:v>Login válido; token de 8 horas; /me protegido; logout limpia sesión.</x:v>
      </x:c>
      <x:c r="L12" s="53" t="str">
        <x:v>AuthContext.jsx, authService.js, routes/auth.py, auth_middleware.py.</x:v>
      </x:c>
    </x:row>
    <x:row r="13">
      <x:c r="A13" s="53" t="str">
        <x:v>Sprint 1</x:v>
      </x:c>
      <x:c r="B13" s="53" t="str">
        <x:v>MIG-009</x:v>
      </x:c>
      <x:c r="C13" s="53" t="str">
        <x:v>Acceso por roles</x:v>
      </x:c>
      <x:c r="D13" s="53" t="str">
        <x:v>Restringir menús, rutas y endpoints según rol.</x:v>
      </x:c>
      <x:c r="E13" s="53" t="str">
        <x:v>Ambos</x:v>
      </x:c>
      <x:c r="F13" s="53" t="str">
        <x:v>Seguridad</x:v>
      </x:c>
      <x:c r="G13" s="53" t="str">
        <x:v>Joel / Zahid</x:v>
      </x:c>
      <x:c r="H13" s="53" t="str">
        <x:v>En validación</x:v>
      </x:c>
      <x:c r="I13" s="53" t="str">
        <x:v>Must</x:v>
      </x:c>
      <x:c r="J13" s="53" t="n">
        <x:v>5</x:v>
      </x:c>
      <x:c r="K13" s="53" t="str">
        <x:v>Frontend oculta rutas; API devuelve 403 en acciones no autorizadas; pruebas por rol.</x:v>
      </x:c>
      <x:c r="L13" s="53" t="str">
        <x:v>Rutas web verificadas; falta cobertura automatizada completa de roles API.</x:v>
      </x:c>
    </x:row>
    <x:row r="14">
      <x:c r="A14" s="53" t="str">
        <x:v>Sprint 1</x:v>
      </x:c>
      <x:c r="B14" s="53" t="str">
        <x:v>DES-001</x:v>
      </x:c>
      <x:c r="C14" s="53" t="str">
        <x:v>Sistema visual</x:v>
      </x:c>
      <x:c r="D14" s="53" t="str">
        <x:v>Definir identidad visual clínica, layout, sidebar y adaptación responsiva.</x:v>
      </x:c>
      <x:c r="E14" s="53" t="str">
        <x:v>Web</x:v>
      </x:c>
      <x:c r="F14" s="53" t="str">
        <x:v>Diseño</x:v>
      </x:c>
      <x:c r="G14" s="53" t="str">
        <x:v>Jaime</x:v>
      </x:c>
      <x:c r="H14" s="53" t="str">
        <x:v>Terminado</x:v>
      </x:c>
      <x:c r="I14" s="53" t="str">
        <x:v>Should</x:v>
      </x:c>
      <x:c r="J14" s="53" t="n">
        <x:v>5</x:v>
      </x:c>
      <x:c r="K14" s="53" t="str">
        <x:v>Paleta consistente; navegación legible; vistas adaptables a escritorio y tableta.</x:v>
      </x:c>
      <x:c r="L14" s="53" t="str">
        <x:v>CSS de layout, módulos y pantallas.</x:v>
      </x:c>
    </x:row>
    <x:row r="15">
      <x:c r="A15" s="53" t="str">
        <x:v>Sprint 2</x:v>
      </x:c>
      <x:c r="B15" s="53" t="str">
        <x:v>PAC-001</x:v>
      </x:c>
      <x:c r="C15" s="53" t="str">
        <x:v>Pacientes</x:v>
      </x:c>
      <x:c r="D15" s="53" t="str">
        <x:v>Migrar listado de pacientes de React Native a React web.</x:v>
      </x:c>
      <x:c r="E15" s="53" t="str">
        <x:v>Web</x:v>
      </x:c>
      <x:c r="F15" s="53" t="str">
        <x:v>Frontend</x:v>
      </x:c>
      <x:c r="G15" s="53" t="str">
        <x:v>Joel</x:v>
      </x:c>
      <x:c r="H15" s="53" t="str">
        <x:v>Terminado</x:v>
      </x:c>
      <x:c r="I15" s="53" t="str">
        <x:v>Must</x:v>
      </x:c>
      <x:c r="J15" s="53" t="n">
        <x:v>5</x:v>
      </x:c>
      <x:c r="K15" s="53" t="str">
        <x:v>Sin imports Expo/React Native; listado real; rutas sin Placeholder.</x:v>
      </x:c>
      <x:c r="L15" s="53" t="str">
        <x:v>PacientesScreen.jsx y AppRouter.jsx.</x:v>
      </x:c>
    </x:row>
    <x:row r="16">
      <x:c r="A16" s="53" t="str">
        <x:v>Sprint 2</x:v>
      </x:c>
      <x:c r="B16" s="53" t="str">
        <x:v>PAC-002</x:v>
      </x:c>
      <x:c r="C16" s="53" t="str">
        <x:v>Pacientes</x:v>
      </x:c>
      <x:c r="D16" s="53" t="str">
        <x:v>Implementar paginación, búsqueda, caché temporal y recarga manual.</x:v>
      </x:c>
      <x:c r="E16" s="53" t="str">
        <x:v>Ambos</x:v>
      </x:c>
      <x:c r="F16" s="53" t="str">
        <x:v>Integración</x:v>
      </x:c>
      <x:c r="G16" s="53" t="str">
        <x:v>Joel / Zahid</x:v>
      </x:c>
      <x:c r="H16" s="53" t="str">
        <x:v>Terminado</x:v>
      </x:c>
      <x:c r="I16" s="53" t="str">
        <x:v>Must</x:v>
      </x:c>
      <x:c r="J16" s="53" t="n">
        <x:v>5</x:v>
      </x:c>
      <x:c r="K16" s="53" t="str">
        <x:v>Páginas consistentes; búsqueda no modifica datos; botón recargar invalida caché.</x:v>
      </x:c>
      <x:c r="L16" s="53" t="str">
        <x:v>adminCache.js, adminService.js, /gestion-pacientes.</x:v>
      </x:c>
    </x:row>
    <x:row r="17">
      <x:c r="A17" s="53" t="str">
        <x:v>Sprint 2</x:v>
      </x:c>
      <x:c r="B17" s="53" t="str">
        <x:v>PAC-003</x:v>
      </x:c>
      <x:c r="C17" s="53" t="str">
        <x:v>Pacientes</x:v>
      </x:c>
      <x:c r="D17" s="53" t="str">
        <x:v>Crear formulario web de alta con datos personales, atención, cama, médicos y familiar.</x:v>
      </x:c>
      <x:c r="E17" s="53" t="str">
        <x:v>Ambos</x:v>
      </x:c>
      <x:c r="F17" s="53" t="str">
        <x:v>Frontend/API</x:v>
      </x:c>
      <x:c r="G17" s="53" t="str">
        <x:v>Joel / Zahid</x:v>
      </x:c>
      <x:c r="H17" s="53" t="str">
        <x:v>Terminado</x:v>
      </x:c>
      <x:c r="I17" s="53" t="str">
        <x:v>Must</x:v>
      </x:c>
      <x:c r="J17" s="53" t="n">
        <x:v>8</x:v>
      </x:c>
      <x:c r="K17" s="53" t="str">
        <x:v>Valida obligatorios; carga camas disponibles; crea paciente y atención; devuelve Id_exp.</x:v>
      </x:c>
      <x:c r="L17" s="53" t="str">
        <x:v>NuevoPacienteScreen.jsx y AdministrativeService.create_patient.</x:v>
      </x:c>
    </x:row>
    <x:row r="18">
      <x:c r="A18" s="53" t="str">
        <x:v>Sprint 2</x:v>
      </x:c>
      <x:c r="B18" s="53" t="str">
        <x:v>PAC-004</x:v>
      </x:c>
      <x:c r="C18" s="53" t="str">
        <x:v>Pacientes</x:v>
      </x:c>
      <x:c r="D18" s="53" t="str">
        <x:v>Consultar detalle integral del paciente y su cuenta.</x:v>
      </x:c>
      <x:c r="E18" s="53" t="str">
        <x:v>Ambos</x:v>
      </x:c>
      <x:c r="F18" s="53" t="str">
        <x:v>Frontend/API</x:v>
      </x:c>
      <x:c r="G18" s="53" t="str">
        <x:v>Joel / Zahid</x:v>
      </x:c>
      <x:c r="H18" s="53" t="str">
        <x:v>Terminado</x:v>
      </x:c>
      <x:c r="I18" s="53" t="str">
        <x:v>Must</x:v>
      </x:c>
      <x:c r="J18" s="53" t="n">
        <x:v>5</x:v>
      </x:c>
      <x:c r="K18" s="53" t="str">
        <x:v>Muestra expediente, atención, cama, médicos, familiar, cargos, pagos y documentos.</x:v>
      </x:c>
      <x:c r="L18" s="53" t="str">
        <x:v>PacienteDetailScreen.jsx y rutas accounts/patients.</x:v>
      </x:c>
    </x:row>
    <x:row r="19">
      <x:c r="A19" s="53" t="str">
        <x:v>Sprint 2</x:v>
      </x:c>
      <x:c r="B19" s="53" t="str">
        <x:v>PAC-005</x:v>
      </x:c>
      <x:c r="C19" s="53" t="str">
        <x:v>Pacientes</x:v>
      </x:c>
      <x:c r="D19" s="53" t="str">
        <x:v>Editar datos permitidos conservando Id_exp.</x:v>
      </x:c>
      <x:c r="E19" s="53" t="str">
        <x:v>Ambos</x:v>
      </x:c>
      <x:c r="F19" s="53" t="str">
        <x:v>Frontend/API</x:v>
      </x:c>
      <x:c r="G19" s="53" t="str">
        <x:v>Joel / Zahid</x:v>
      </x:c>
      <x:c r="H19" s="53" t="str">
        <x:v>Terminado</x:v>
      </x:c>
      <x:c r="I19" s="53" t="str">
        <x:v>Must</x:v>
      </x:c>
      <x:c r="J19" s="53" t="n">
        <x:v>5</x:v>
      </x:c>
      <x:c r="K19" s="53" t="str">
        <x:v>Id_exp no se sustituye; formulario carga datos; actualización conserva expediente.</x:v>
      </x:c>
      <x:c r="L19" s="53" t="str">
        <x:v>Ruta pacientes/:id/editar y endpoints PUT.</x:v>
      </x:c>
    </x:row>
    <x:row r="20">
      <x:c r="A20" s="53" t="str">
        <x:v>Sprint 2</x:v>
      </x:c>
      <x:c r="B20" s="53" t="str">
        <x:v>PAC-006</x:v>
      </x:c>
      <x:c r="C20" s="53" t="str">
        <x:v>Integridad</x:v>
      </x:c>
      <x:c r="D20" s="53" t="str">
        <x:v>Prevenir duplicados por CURP/expediente y coincidencias parciales.</x:v>
      </x:c>
      <x:c r="E20" s="53" t="str">
        <x:v>API</x:v>
      </x:c>
      <x:c r="F20" s="53" t="str">
        <x:v>Backend/MongoDB</x:v>
      </x:c>
      <x:c r="G20" s="53" t="str">
        <x:v>Zahid</x:v>
      </x:c>
      <x:c r="H20" s="53" t="str">
        <x:v>En validación</x:v>
      </x:c>
      <x:c r="I20" s="53" t="str">
        <x:v>Must</x:v>
      </x:c>
      <x:c r="J20" s="53" t="n">
        <x:v>5</x:v>
      </x:c>
      <x:c r="K20" s="53" t="str">
        <x:v>Normaliza criterios; revalida antes de insertar; conflicto controlado; prueba concurrente.</x:v>
      </x:c>
      <x:c r="L20" s="53" t="str">
        <x:v>Hay búsqueda administrativa; falta evidencia automatizada de unicidad y concurrencia.</x:v>
      </x:c>
    </x:row>
    <x:row r="21">
      <x:c r="A21" s="53" t="str">
        <x:v>Sprint 2</x:v>
      </x:c>
      <x:c r="B21" s="53" t="str">
        <x:v>PAC-007</x:v>
      </x:c>
      <x:c r="C21" s="53" t="str">
        <x:v>Administrativo</x:v>
      </x:c>
      <x:c r="D21" s="53" t="str">
        <x:v>Implementar censo hospitalario con consulta y exportación.</x:v>
      </x:c>
      <x:c r="E21" s="53" t="str">
        <x:v>Ambos</x:v>
      </x:c>
      <x:c r="F21" s="53" t="str">
        <x:v>Reporte</x:v>
      </x:c>
      <x:c r="G21" s="53" t="str">
        <x:v>Joel / Zahid</x:v>
      </x:c>
      <x:c r="H21" s="53" t="str">
        <x:v>Terminado</x:v>
      </x:c>
      <x:c r="I21" s="53" t="str">
        <x:v>Should</x:v>
      </x:c>
      <x:c r="J21" s="53" t="n">
        <x:v>5</x:v>
      </x:c>
      <x:c r="K21" s="53" t="str">
        <x:v>Vista consulta censo; API filtra; exporta PDF/Excel.</x:v>
      </x:c>
      <x:c r="L21" s="53" t="str">
        <x:v>CensoScreen.jsx, routes/reports.py y administrative.py.</x:v>
      </x:c>
    </x:row>
    <x:row r="22">
      <x:c r="A22" s="53" t="str">
        <x:v>Sprint 2</x:v>
      </x:c>
      <x:c r="B22" s="53" t="str">
        <x:v>PAC-008</x:v>
      </x:c>
      <x:c r="C22" s="53" t="str">
        <x:v>Administrativo</x:v>
      </x:c>
      <x:c r="D22" s="53" t="str">
        <x:v>Implementar corte de caja, cargos, pagos y cierre de cuenta.</x:v>
      </x:c>
      <x:c r="E22" s="53" t="str">
        <x:v>Ambos</x:v>
      </x:c>
      <x:c r="F22" s="53" t="str">
        <x:v>Administrativo</x:v>
      </x:c>
      <x:c r="G22" s="53" t="str">
        <x:v>Joel / Zahid</x:v>
      </x:c>
      <x:c r="H22" s="53" t="str">
        <x:v>Terminado</x:v>
      </x:c>
      <x:c r="I22" s="53" t="str">
        <x:v>Must</x:v>
      </x:c>
      <x:c r="J22" s="53" t="n">
        <x:v>8</x:v>
      </x:c>
      <x:c r="K22" s="53" t="str">
        <x:v>Registra cargos y pagos; calcula totales; permite cierre; genera comprobantes.</x:v>
      </x:c>
      <x:c r="L22" s="53" t="str">
        <x:v>CorteCajaScreen.jsx, billing.py y administrative.py.</x:v>
      </x:c>
    </x:row>
    <x:row r="23">
      <x:c r="A23" s="53" t="str">
        <x:v>Sprint 2</x:v>
      </x:c>
      <x:c r="B23" s="53" t="str">
        <x:v>PAC-009</x:v>
      </x:c>
      <x:c r="C23" s="53" t="str">
        <x:v>Documentos</x:v>
      </x:c>
      <x:c r="D23" s="53" t="str">
        <x:v>Generar hoja inicial, hoja frontal, contrato, consentimiento y ficha.</x:v>
      </x:c>
      <x:c r="E23" s="53" t="str">
        <x:v>API</x:v>
      </x:c>
      <x:c r="F23" s="53" t="str">
        <x:v>PDF/Documentación</x:v>
      </x:c>
      <x:c r="G23" s="53" t="str">
        <x:v>Zahid / Jesús</x:v>
      </x:c>
      <x:c r="H23" s="53" t="str">
        <x:v>Terminado</x:v>
      </x:c>
      <x:c r="I23" s="53" t="str">
        <x:v>Should</x:v>
      </x:c>
      <x:c r="J23" s="53" t="n">
        <x:v>5</x:v>
      </x:c>
      <x:c r="K23" s="53" t="str">
        <x:v>Documentos se generan con datos del paciente; descarga autorizada; nombres identificables.</x:v>
      </x:c>
      <x:c r="L23" s="53" t="str">
        <x:v>routes/pdf.py, pdf_service.py y documentos de cuenta.</x:v>
      </x:c>
    </x:row>
    <x:row r="24">
      <x:c r="A24" s="53" t="str">
        <x:v>Sprint 2</x:v>
      </x:c>
      <x:c r="B24" s="53" t="str">
        <x:v>DES-002</x:v>
      </x:c>
      <x:c r="C24" s="53" t="str">
        <x:v>Diseño Pacientes</x:v>
      </x:c>
      <x:c r="D24" s="53" t="str">
        <x:v>Diseñar y documentar estados de lista, alta, edición, detalle, vacío y error.</x:v>
      </x:c>
      <x:c r="E24" s="53" t="str">
        <x:v>Web</x:v>
      </x:c>
      <x:c r="F24" s="53" t="str">
        <x:v>Diseño</x:v>
      </x:c>
      <x:c r="G24" s="53" t="str">
        <x:v>Jaime</x:v>
      </x:c>
      <x:c r="H24" s="53" t="str">
        <x:v>En validación</x:v>
      </x:c>
      <x:c r="I24" s="53" t="str">
        <x:v>Should</x:v>
      </x:c>
      <x:c r="J24" s="53" t="n">
        <x:v>3</x:v>
      </x:c>
      <x:c r="K24" s="53" t="str">
        <x:v>Mockups o capturas; estados consistentes; validación responsiva.</x:v>
      </x:c>
      <x:c r="L24" s="53" t="str">
        <x:v>Implementación visible; falta carpeta de evidencia de diseño versionada.</x:v>
      </x:c>
    </x:row>
    <x:row r="25">
      <x:c r="A25" s="53" t="str">
        <x:v>Sprint 3</x:v>
      </x:c>
      <x:c r="B25" s="53" t="str">
        <x:v>ENF-001</x:v>
      </x:c>
      <x:c r="C25" s="53" t="str">
        <x:v>Panel Enfermería</x:v>
      </x:c>
      <x:c r="D25" s="53" t="str">
        <x:v>Consultar pacientes por consulta, urgencias y hospitalización.</x:v>
      </x:c>
      <x:c r="E25" s="53" t="str">
        <x:v>Ambos</x:v>
      </x:c>
      <x:c r="F25" s="53" t="str">
        <x:v>Frontend/API</x:v>
      </x:c>
      <x:c r="G25" s="53" t="str">
        <x:v>Joel / Zahid</x:v>
      </x:c>
      <x:c r="H25" s="53" t="str">
        <x:v>Terminado</x:v>
      </x:c>
      <x:c r="I25" s="53" t="str">
        <x:v>Must</x:v>
      </x:c>
      <x:c r="J25" s="53" t="n">
        <x:v>5</x:v>
      </x:c>
      <x:c r="K25" s="53" t="str">
        <x:v>Agrupa por área; muestra cama y datos mínimos; abre paciente válido.</x:v>
      </x:c>
      <x:c r="L25" s="53" t="str">
        <x:v>EnfermeriaScreen.jsx y /medico.</x:v>
      </x:c>
    </x:row>
    <x:row r="26">
      <x:c r="A26" s="53" t="str">
        <x:v>Sprint 3</x:v>
      </x:c>
      <x:c r="B26" s="53" t="str">
        <x:v>ENF-002</x:v>
      </x:c>
      <x:c r="C26" s="53" t="str">
        <x:v>Detalle Enfermería</x:v>
      </x:c>
      <x:c r="D26" s="53" t="str">
        <x:v>Consultar expediente, alergias, cama, médicos y familiar.</x:v>
      </x:c>
      <x:c r="E26" s="53" t="str">
        <x:v>Ambos</x:v>
      </x:c>
      <x:c r="F26" s="53" t="str">
        <x:v>Frontend/API</x:v>
      </x:c>
      <x:c r="G26" s="53" t="str">
        <x:v>Joel / Zahid</x:v>
      </x:c>
      <x:c r="H26" s="53" t="str">
        <x:v>Terminado</x:v>
      </x:c>
      <x:c r="I26" s="53" t="str">
        <x:v>Must</x:v>
      </x:c>
      <x:c r="J26" s="53" t="n">
        <x:v>5</x:v>
      </x:c>
      <x:c r="K26" s="53" t="str">
        <x:v>Usa id_atencion e Id_exp; muestra datos; enlaza acciones de Enfermería.</x:v>
      </x:c>
      <x:c r="L26" s="53" t="str">
        <x:v>pages/enfermeria/PatientDetailScreen.jsx.</x:v>
      </x:c>
    </x:row>
    <x:row r="27">
      <x:c r="A27" s="53" t="str">
        <x:v>Sprint 3</x:v>
      </x:c>
      <x:c r="B27" s="53" t="str">
        <x:v>ENF-003</x:v>
      </x:c>
      <x:c r="C27" s="53" t="str">
        <x:v>Contexto clínico</x:v>
      </x:c>
      <x:c r="D27" s="53" t="str">
        <x:v>Conservar y validar paciente seleccionado entre pantallas.</x:v>
      </x:c>
      <x:c r="E27" s="53" t="str">
        <x:v>Web</x:v>
      </x:c>
      <x:c r="F27" s="53" t="str">
        <x:v>Estado</x:v>
      </x:c>
      <x:c r="G27" s="53" t="str">
        <x:v>Joel</x:v>
      </x:c>
      <x:c r="H27" s="53" t="str">
        <x:v>Terminado</x:v>
      </x:c>
      <x:c r="I27" s="53" t="str">
        <x:v>Must</x:v>
      </x:c>
      <x:c r="J27" s="53" t="n">
        <x:v>3</x:v>
      </x:c>
      <x:c r="K27" s="53" t="str">
        <x:v>PatientContext conserva identificadores; evita guardar sin atención seleccionada.</x:v>
      </x:c>
      <x:c r="L27" s="53" t="str">
        <x:v>src/context/PatientContext.jsx.</x:v>
      </x:c>
    </x:row>
    <x:row r="28">
      <x:c r="A28" s="53" t="str">
        <x:v>Sprint 3</x:v>
      </x:c>
      <x:c r="B28" s="53" t="str">
        <x:v>ENF-004</x:v>
      </x:c>
      <x:c r="C28" s="53" t="str">
        <x:v>Signos vitales</x:v>
      </x:c>
      <x:c r="D28" s="53" t="str">
        <x:v>Registrar e historizar signos vitales.</x:v>
      </x:c>
      <x:c r="E28" s="53" t="str">
        <x:v>Ambos</x:v>
      </x:c>
      <x:c r="F28" s="53" t="str">
        <x:v>Clínico</x:v>
      </x:c>
      <x:c r="G28" s="53" t="str">
        <x:v>Joel / Zahid</x:v>
      </x:c>
      <x:c r="H28" s="53" t="str">
        <x:v>Terminado</x:v>
      </x:c>
      <x:c r="I28" s="53" t="str">
        <x:v>Must</x:v>
      </x:c>
      <x:c r="J28" s="53" t="n">
        <x:v>5</x:v>
      </x:c>
      <x:c r="K28" s="53" t="str">
        <x:v>Presión, FC, FR, temperatura y SpO2 asociados a atención, fecha y responsable.</x:v>
      </x:c>
      <x:c r="L28" s="53" t="str">
        <x:v>EnfermeriaVitalSignsScreen.jsx y endpoints vital-signs.</x:v>
      </x:c>
    </x:row>
    <x:row r="29">
      <x:c r="A29" s="53" t="str">
        <x:v>Sprint 3</x:v>
      </x:c>
      <x:c r="B29" s="53" t="str">
        <x:v>ENF-005</x:v>
      </x:c>
      <x:c r="C29" s="53" t="str">
        <x:v>Valoración</x:v>
      </x:c>
      <x:c r="D29" s="53" t="str">
        <x:v>Registrar e historizar valoración de Enfermería.</x:v>
      </x:c>
      <x:c r="E29" s="53" t="str">
        <x:v>Ambos</x:v>
      </x:c>
      <x:c r="F29" s="53" t="str">
        <x:v>Clínico</x:v>
      </x:c>
      <x:c r="G29" s="53" t="str">
        <x:v>Joel / Zahid</x:v>
      </x:c>
      <x:c r="H29" s="53" t="str">
        <x:v>Terminado</x:v>
      </x:c>
      <x:c r="I29" s="53" t="str">
        <x:v>Must</x:v>
      </x:c>
      <x:c r="J29" s="53" t="n">
        <x:v>5</x:v>
      </x:c>
      <x:c r="K29" s="53" t="str">
        <x:v>Campos estructurados; conserva fecha, atención y responsable; historial disponible.</x:v>
      </x:c>
      <x:c r="L29" s="53" t="str">
        <x:v>EnfermeriaAssessmentScreen.jsx y nursing-assessment.</x:v>
      </x:c>
    </x:row>
    <x:row r="30">
      <x:c r="A30" s="53" t="str">
        <x:v>Sprint 3</x:v>
      </x:c>
      <x:c r="B30" s="53" t="str">
        <x:v>ENF-006</x:v>
      </x:c>
      <x:c r="C30" s="53" t="str">
        <x:v>Notas</x:v>
      </x:c>
      <x:c r="D30" s="53" t="str">
        <x:v>Registrar e historizar notas de Enfermería.</x:v>
      </x:c>
      <x:c r="E30" s="53" t="str">
        <x:v>Ambos</x:v>
      </x:c>
      <x:c r="F30" s="53" t="str">
        <x:v>Clínico</x:v>
      </x:c>
      <x:c r="G30" s="53" t="str">
        <x:v>Joel / Zahid</x:v>
      </x:c>
      <x:c r="H30" s="53" t="str">
        <x:v>Terminado</x:v>
      </x:c>
      <x:c r="I30" s="53" t="str">
        <x:v>Must</x:v>
      </x:c>
      <x:c r="J30" s="53" t="n">
        <x:v>5</x:v>
      </x:c>
      <x:c r="K30" s="53" t="str">
        <x:v>Nota asociada a atención; usuario y fecha; historial no destructivo.</x:v>
      </x:c>
      <x:c r="L30" s="53" t="str">
        <x:v>EnfermeriaNoteScreen.jsx y nursing-notes.</x:v>
      </x:c>
    </x:row>
    <x:row r="31">
      <x:c r="A31" s="53" t="str">
        <x:v>Sprint 3</x:v>
      </x:c>
      <x:c r="B31" s="53" t="str">
        <x:v>ENF-007</x:v>
      </x:c>
      <x:c r="C31" s="53" t="str">
        <x:v>Medicamentos</x:v>
      </x:c>
      <x:c r="D31" s="53" t="str">
        <x:v>Registrar medicamentos administrados e historial.</x:v>
      </x:c>
      <x:c r="E31" s="53" t="str">
        <x:v>Ambos</x:v>
      </x:c>
      <x:c r="F31" s="53" t="str">
        <x:v>Clínico</x:v>
      </x:c>
      <x:c r="G31" s="53" t="str">
        <x:v>Joel / Zahid</x:v>
      </x:c>
      <x:c r="H31" s="53" t="str">
        <x:v>Terminado básico</x:v>
      </x:c>
      <x:c r="I31" s="53" t="str">
        <x:v>Must</x:v>
      </x:c>
      <x:c r="J31" s="53" t="n">
        <x:v>5</x:v>
      </x:c>
      <x:c r="K31" s="53" t="str">
        <x:v>Nombre, dosis, frecuencia, vía y fecha; historial por atención.</x:v>
      </x:c>
      <x:c r="L31" s="53" t="str">
        <x:v>EnfermeriaMedicationsScreen.jsx y endpoints medications.</x:v>
      </x:c>
    </x:row>
    <x:row r="32">
      <x:c r="A32" s="53" t="str">
        <x:v>Sprint 3</x:v>
      </x:c>
      <x:c r="B32" s="53" t="str">
        <x:v>ENF-008</x:v>
      </x:c>
      <x:c r="C32" s="53" t="str">
        <x:v>Balance hídrico</x:v>
      </x:c>
      <x:c r="D32" s="53" t="str">
        <x:v>Registrar ingresos/egresos y calcular balance neto.</x:v>
      </x:c>
      <x:c r="E32" s="53" t="str">
        <x:v>Ambos</x:v>
      </x:c>
      <x:c r="F32" s="53" t="str">
        <x:v>Clínico</x:v>
      </x:c>
      <x:c r="G32" s="53" t="str">
        <x:v>Joel / Zahid</x:v>
      </x:c>
      <x:c r="H32" s="53" t="str">
        <x:v>Terminado básico</x:v>
      </x:c>
      <x:c r="I32" s="53" t="str">
        <x:v>Must</x:v>
      </x:c>
      <x:c r="J32" s="53" t="n">
        <x:v>5</x:v>
      </x:c>
      <x:c r="K32" s="53" t="str">
        <x:v>Totales en ml; balance neto; fecha, responsable y observaciones.</x:v>
      </x:c>
      <x:c r="L32" s="53" t="str">
        <x:v>EnfermeriaFluidBalanceScreen.jsx y fluid-balance.</x:v>
      </x:c>
    </x:row>
    <x:row r="33">
      <x:c r="A33" s="53" t="str">
        <x:v>Sprint 3</x:v>
      </x:c>
      <x:c r="B33" s="53" t="str">
        <x:v>ENF-009</x:v>
      </x:c>
      <x:c r="C33" s="53" t="str">
        <x:v>Cuidados</x:v>
      </x:c>
      <x:c r="D33" s="53" t="str">
        <x:v>Registrar e historizar cuidados de Enfermería.</x:v>
      </x:c>
      <x:c r="E33" s="53" t="str">
        <x:v>Ambos</x:v>
      </x:c>
      <x:c r="F33" s="53" t="str">
        <x:v>Clínico</x:v>
      </x:c>
      <x:c r="G33" s="53" t="str">
        <x:v>Joel / Zahid</x:v>
      </x:c>
      <x:c r="H33" s="53" t="str">
        <x:v>Terminado</x:v>
      </x:c>
      <x:c r="I33" s="53" t="str">
        <x:v>Must</x:v>
      </x:c>
      <x:c r="J33" s="53" t="n">
        <x:v>5</x:v>
      </x:c>
      <x:c r="K33" s="53" t="str">
        <x:v>Plan/cuidado asociado a atención; responsable y fecha; consulta histórica.</x:v>
      </x:c>
      <x:c r="L33" s="53" t="str">
        <x:v>EnfermeriaCareScreen.jsx y nursing-care.</x:v>
      </x:c>
    </x:row>
    <x:row r="34">
      <x:c r="A34" s="53" t="str">
        <x:v>Sprint 3</x:v>
      </x:c>
      <x:c r="B34" s="53" t="str">
        <x:v>ENF-010</x:v>
      </x:c>
      <x:c r="C34" s="53" t="str">
        <x:v>Seguridad clínica</x:v>
      </x:c>
      <x:c r="D34" s="53" t="str">
        <x:v>Agregar rangos, alertas, turnos, correcciones y auditoría clínica.</x:v>
      </x:c>
      <x:c r="E34" s="53" t="str">
        <x:v>Ambos</x:v>
      </x:c>
      <x:c r="F34" s="53" t="str">
        <x:v>Clínico/Seguridad</x:v>
      </x:c>
      <x:c r="G34" s="53" t="str">
        <x:v>Joel / Zahid</x:v>
      </x:c>
      <x:c r="H34" s="53" t="str">
        <x:v>Pendiente</x:v>
      </x:c>
      <x:c r="I34" s="53" t="str">
        <x:v>Must</x:v>
      </x:c>
      <x:c r="J34" s="53" t="n">
        <x:v>8</x:v>
      </x:c>
      <x:c r="K34" s="53" t="str">
        <x:v>Rangos configurables; observación anormal; filtros; edición justificada; auditoría.</x:v>
      </x:c>
      <x:c r="L34" s="53" t="str">
        <x:v>No se encontró evidencia completa en el código actual.</x:v>
      </x:c>
    </x:row>
    <x:row r="35">
      <x:c r="A35" s="53" t="str">
        <x:v>Sprint 3</x:v>
      </x:c>
      <x:c r="B35" s="53" t="str">
        <x:v>ENF-011</x:v>
      </x:c>
      <x:c r="C35" s="53" t="str">
        <x:v>Administración segura</x:v>
      </x:c>
      <x:c r="D35" s="53" t="str">
        <x:v>Vincular administración a prescripción y evitar dosis duplicadas.</x:v>
      </x:c>
      <x:c r="E35" s="53" t="str">
        <x:v>Ambos</x:v>
      </x:c>
      <x:c r="F35" s="53" t="str">
        <x:v>Seguridad clínica</x:v>
      </x:c>
      <x:c r="G35" s="53" t="str">
        <x:v>Joel / Zahid</x:v>
      </x:c>
      <x:c r="H35" s="53" t="str">
        <x:v>Pendiente</x:v>
      </x:c>
      <x:c r="I35" s="53" t="str">
        <x:v>Must</x:v>
      </x:c>
      <x:c r="J35" s="53" t="n">
        <x:v>8</x:v>
      </x:c>
      <x:c r="K35" s="53" t="str">
        <x:v>Indicación médica; estados pendiente/administrado/retrasado/omitido; bloqueo duplicado.</x:v>
      </x:c>
      <x:c r="L35" s="53" t="str">
        <x:v>La pantalla actual captura medicamentos libremente.</x:v>
      </x:c>
    </x:row>
    <x:row r="36">
      <x:c r="A36" s="53" t="str">
        <x:v>Sprint 3</x:v>
      </x:c>
      <x:c r="B36" s="53" t="str">
        <x:v>ENF-012</x:v>
      </x:c>
      <x:c r="C36" s="53" t="str">
        <x:v>Hoja Enfermería</x:v>
      </x:c>
      <x:c r="D36" s="53" t="str">
        <x:v>Consolidar registros por turno y exportar hoja de Enfermería.</x:v>
      </x:c>
      <x:c r="E36" s="53" t="str">
        <x:v>Ambos</x:v>
      </x:c>
      <x:c r="F36" s="53" t="str">
        <x:v>Reporte</x:v>
      </x:c>
      <x:c r="G36" s="53" t="str">
        <x:v>Joel / Zahid</x:v>
      </x:c>
      <x:c r="H36" s="53" t="str">
        <x:v>Pendiente</x:v>
      </x:c>
      <x:c r="I36" s="53" t="str">
        <x:v>Should</x:v>
      </x:c>
      <x:c r="J36" s="53" t="n">
        <x:v>8</x:v>
      </x:c>
      <x:c r="K36" s="53" t="str">
        <x:v>Signos, valoración, notas, medicamentos, balance y cuidados; PDF imprimible.</x:v>
      </x:c>
      <x:c r="L36" s="53" t="str">
        <x:v>Hay PDFs separados; no se encontró hoja consolidada.</x:v>
      </x:c>
    </x:row>
    <x:row r="37">
      <x:c r="A37" s="53" t="str">
        <x:v>Sprint 4</x:v>
      </x:c>
      <x:c r="B37" s="53" t="str">
        <x:v>MED-001</x:v>
      </x:c>
      <x:c r="C37" s="53" t="str">
        <x:v>Médico</x:v>
      </x:c>
      <x:c r="D37" s="53" t="str">
        <x:v>Migrar panel, detalle, historia clínica y signos vitales.</x:v>
      </x:c>
      <x:c r="E37" s="53" t="str">
        <x:v>Ambos</x:v>
      </x:c>
      <x:c r="F37" s="53" t="str">
        <x:v>Clínico</x:v>
      </x:c>
      <x:c r="G37" s="53" t="str">
        <x:v>Joel / Zahid</x:v>
      </x:c>
      <x:c r="H37" s="53" t="str">
        <x:v>Terminado</x:v>
      </x:c>
      <x:c r="I37" s="53" t="str">
        <x:v>Must</x:v>
      </x:c>
      <x:c r="J37" s="53" t="n">
        <x:v>8</x:v>
      </x:c>
      <x:c r="K37" s="53" t="str">
        <x:v>Rutas por rol; datos del paciente; captura e historial conectados a API.</x:v>
      </x:c>
      <x:c r="L37" s="53" t="str">
        <x:v>pages/medico y routes/medical.py.</x:v>
      </x:c>
    </x:row>
    <x:row r="38">
      <x:c r="A38" s="53" t="str">
        <x:v>Sprint 4</x:v>
      </x:c>
      <x:c r="B38" s="53" t="str">
        <x:v>MED-002</x:v>
      </x:c>
      <x:c r="C38" s="53" t="str">
        <x:v>Médico</x:v>
      </x:c>
      <x:c r="D38" s="53" t="str">
        <x:v>Implementar notas, diagnóstico, receta y documentos PDF.</x:v>
      </x:c>
      <x:c r="E38" s="53" t="str">
        <x:v>Ambos</x:v>
      </x:c>
      <x:c r="F38" s="53" t="str">
        <x:v>Clínico/PDF</x:v>
      </x:c>
      <x:c r="G38" s="53" t="str">
        <x:v>Joel / Zahid</x:v>
      </x:c>
      <x:c r="H38" s="53" t="str">
        <x:v>Terminado</x:v>
      </x:c>
      <x:c r="I38" s="53" t="str">
        <x:v>Must</x:v>
      </x:c>
      <x:c r="J38" s="53" t="n">
        <x:v>8</x:v>
      </x:c>
      <x:c r="K38" s="53" t="str">
        <x:v>Guarda y consulta registros; genera documentos; mantiene atención seleccionada.</x:v>
      </x:c>
      <x:c r="L38" s="53" t="str">
        <x:v>Pantallas Médico, medical.py y pdf.py.</x:v>
      </x:c>
    </x:row>
    <x:row r="39">
      <x:c r="A39" s="53" t="str">
        <x:v>Sprint 4</x:v>
      </x:c>
      <x:c r="B39" s="53" t="str">
        <x:v>EST-001</x:v>
      </x:c>
      <x:c r="C39" s="53" t="str">
        <x:v>Estudios</x:v>
      </x:c>
      <x:c r="D39" s="53" t="str">
        <x:v>Solicitar laboratorio/gabinete y consultar estudios del paciente.</x:v>
      </x:c>
      <x:c r="E39" s="53" t="str">
        <x:v>Ambos</x:v>
      </x:c>
      <x:c r="F39" s="53" t="str">
        <x:v>Estudios</x:v>
      </x:c>
      <x:c r="G39" s="53" t="str">
        <x:v>Joel / Zahid</x:v>
      </x:c>
      <x:c r="H39" s="53" t="str">
        <x:v>Terminado</x:v>
      </x:c>
      <x:c r="I39" s="53" t="str">
        <x:v>Must</x:v>
      </x:c>
      <x:c r="J39" s="53" t="n">
        <x:v>5</x:v>
      </x:c>
      <x:c r="K39" s="53" t="str">
        <x:v>Catálogo, solicitud, pendientes, completados y resultados por atención.</x:v>
      </x:c>
      <x:c r="L39" s="53" t="str">
        <x:v>LabExamsScreen, ImagingExamsScreen, exams.py.</x:v>
      </x:c>
    </x:row>
    <x:row r="40">
      <x:c r="A40" s="53" t="str">
        <x:v>Sprint 4</x:v>
      </x:c>
      <x:c r="B40" s="53" t="str">
        <x:v>EST-002</x:v>
      </x:c>
      <x:c r="C40" s="53" t="str">
        <x:v>Estudios</x:v>
      </x:c>
      <x:c r="D40" s="53" t="str">
        <x:v>Subir, visualizar, editar y eliminar resultados y archivos.</x:v>
      </x:c>
      <x:c r="E40" s="53" t="str">
        <x:v>Ambos</x:v>
      </x:c>
      <x:c r="F40" s="53" t="str">
        <x:v>Estudios</x:v>
      </x:c>
      <x:c r="G40" s="53" t="str">
        <x:v>Joel / Zahid</x:v>
      </x:c>
      <x:c r="H40" s="53" t="str">
        <x:v>Terminado</x:v>
      </x:c>
      <x:c r="I40" s="53" t="str">
        <x:v>Must</x:v>
      </x:c>
      <x:c r="J40" s="53" t="n">
        <x:v>8</x:v>
      </x:c>
      <x:c r="K40" s="53" t="str">
        <x:v>Carga autorizada; archivos recuperables; edición y eliminación controladas.</x:v>
      </x:c>
      <x:c r="L40" s="53" t="str">
        <x:v>pages/estudios, routes/studies.py y exams.py.</x:v>
      </x:c>
    </x:row>
    <x:row r="41">
      <x:c r="A41" s="53" t="str">
        <x:v>Sprint 4</x:v>
      </x:c>
      <x:c r="B41" s="53" t="str">
        <x:v>CFG-001</x:v>
      </x:c>
      <x:c r="C41" s="53" t="str">
        <x:v>Configuración</x:v>
      </x:c>
      <x:c r="D41" s="53" t="str">
        <x:v>Gestionar usuarios, camas, servicios y diagnósticos.</x:v>
      </x:c>
      <x:c r="E41" s="53" t="str">
        <x:v>Ambos</x:v>
      </x:c>
      <x:c r="F41" s="53" t="str">
        <x:v>Configuración</x:v>
      </x:c>
      <x:c r="G41" s="53" t="str">
        <x:v>Joel / Zahid</x:v>
      </x:c>
      <x:c r="H41" s="53" t="str">
        <x:v>Terminado</x:v>
      </x:c>
      <x:c r="I41" s="53" t="str">
        <x:v>Must</x:v>
      </x:c>
      <x:c r="J41" s="53" t="n">
        <x:v>8</x:v>
      </x:c>
      <x:c r="K41" s="53" t="str">
        <x:v>CRUD conectado; solo admin; respuestas y errores visibles.</x:v>
      </x:c>
      <x:c r="L41" s="53" t="str">
        <x:v>pages/config, auth.py, beds.py, catalog.py.</x:v>
      </x:c>
    </x:row>
    <x:row r="42">
      <x:c r="A42" s="53" t="str">
        <x:v>Sprint 4</x:v>
      </x:c>
      <x:c r="B42" s="53" t="str">
        <x:v>CFG-002</x:v>
      </x:c>
      <x:c r="C42" s="53" t="str">
        <x:v>Respaldo</x:v>
      </x:c>
      <x:c r="D42" s="53" t="str">
        <x:v>Crear, descargar, restaurar, eliminar y automatizar respaldos.</x:v>
      </x:c>
      <x:c r="E42" s="53" t="str">
        <x:v>Ambos</x:v>
      </x:c>
      <x:c r="F42" s="53" t="str">
        <x:v>Configuración/API</x:v>
      </x:c>
      <x:c r="G42" s="53" t="str">
        <x:v>Joel / Zahid</x:v>
      </x:c>
      <x:c r="H42" s="53" t="str">
        <x:v>Terminado</x:v>
      </x:c>
      <x:c r="I42" s="53" t="str">
        <x:v>Should</x:v>
      </x:c>
      <x:c r="J42" s="53" t="n">
        <x:v>8</x:v>
      </x:c>
      <x:c r="K42" s="53" t="str">
        <x:v>Tipos y formatos definidos; restore; descarga; limpieza; health de backup.</x:v>
      </x:c>
      <x:c r="L42" s="53" t="str">
        <x:v>BackupConfigScreen.jsx, backupService.js, routes/backup.py.</x:v>
      </x:c>
    </x:row>
    <x:row r="43">
      <x:c r="A43" s="53" t="str">
        <x:v>Sprint 4</x:v>
      </x:c>
      <x:c r="B43" s="53" t="str">
        <x:v>I18N-001</x:v>
      </x:c>
      <x:c r="C43" s="53" t="str">
        <x:v>Idiomas</x:v>
      </x:c>
      <x:c r="D43" s="53" t="str">
        <x:v>Ofrecer español e inglés en navegación y módulos.</x:v>
      </x:c>
      <x:c r="E43" s="53" t="str">
        <x:v>Web</x:v>
      </x:c>
      <x:c r="F43" s="53" t="str">
        <x:v>Frontend</x:v>
      </x:c>
      <x:c r="G43" s="53" t="str">
        <x:v>Joel / Jaime</x:v>
      </x:c>
      <x:c r="H43" s="53" t="str">
        <x:v>Terminado</x:v>
      </x:c>
      <x:c r="I43" s="53" t="str">
        <x:v>Should</x:v>
      </x:c>
      <x:c r="J43" s="53" t="n">
        <x:v>5</x:v>
      </x:c>
      <x:c r="K43" s="53" t="str">
        <x:v>Selector funcional; cadenas principales traducidas; cambio sin recarga.</x:v>
      </x:c>
      <x:c r="L43" s="53" t="str">
        <x:v>src/i18n/locales/es.json y en.json.</x:v>
      </x:c>
    </x:row>
    <x:row r="44">
      <x:c r="A44" s="53" t="str">
        <x:v>Sprint 4</x:v>
      </x:c>
      <x:c r="B44" s="53" t="str">
        <x:v>DES-003</x:v>
      </x:c>
      <x:c r="C44" s="53" t="str">
        <x:v>Diseño integral</x:v>
      </x:c>
      <x:c r="D44" s="53" t="str">
        <x:v>Unificar estados visuales, accesibilidad y responsividad de todos los módulos.</x:v>
      </x:c>
      <x:c r="E44" s="53" t="str">
        <x:v>Web</x:v>
      </x:c>
      <x:c r="F44" s="53" t="str">
        <x:v>Diseño</x:v>
      </x:c>
      <x:c r="G44" s="53" t="str">
        <x:v>Jaime</x:v>
      </x:c>
      <x:c r="H44" s="53" t="str">
        <x:v>En validación</x:v>
      </x:c>
      <x:c r="I44" s="53" t="str">
        <x:v>Should</x:v>
      </x:c>
      <x:c r="J44" s="53" t="n">
        <x:v>5</x:v>
      </x:c>
      <x:c r="K44" s="53" t="str">
        <x:v>Contraste, foco, etiquetas, vacío/carga/error y validación en resoluciones objetivo.</x:v>
      </x:c>
      <x:c r="L44" s="53" t="str">
        <x:v>Diseño implementado; falta checklist de accesibilidad versionado.</x:v>
      </x:c>
    </x:row>
    <x:row r="45">
      <x:c r="A45" s="53" t="str">
        <x:v>Sprint 5</x:v>
      </x:c>
      <x:c r="B45" s="53" t="str">
        <x:v>SPK-001</x:v>
      </x:c>
      <x:c r="C45" s="53" t="str">
        <x:v>Analytics Spark</x:v>
      </x:c>
      <x:c r="D45" s="53" t="str">
        <x:v>Conectar dashboard y pantallas de analytics al router web.</x:v>
      </x:c>
      <x:c r="E45" s="53" t="str">
        <x:v>Web</x:v>
      </x:c>
      <x:c r="F45" s="53" t="str">
        <x:v>Frontend</x:v>
      </x:c>
      <x:c r="G45" s="53" t="str">
        <x:v>Joel</x:v>
      </x:c>
      <x:c r="H45" s="53" t="str">
        <x:v>Pendiente</x:v>
      </x:c>
      <x:c r="I45" s="53" t="str">
        <x:v>Should</x:v>
      </x:c>
      <x:c r="J45" s="53" t="n">
        <x:v>5</x:v>
      </x:c>
      <x:c r="K45" s="53" t="str">
        <x:v>Rutas visibles por rol; navegación a clínico, no supervisado, MET y analytics.</x:v>
      </x:c>
      <x:c r="L45" s="53" t="str">
        <x:v>src/pages/spark existe, pero AppRouter.jsx no registra las rutas.</x:v>
      </x:c>
    </x:row>
    <x:row r="46">
      <x:c r="A46" s="53" t="str">
        <x:v>Sprint 5</x:v>
      </x:c>
      <x:c r="B46" s="53" t="str">
        <x:v>SPK-002</x:v>
      </x:c>
      <x:c r="C46" s="53" t="str">
        <x:v>Analytics Spark</x:v>
      </x:c>
      <x:c r="D46" s="53" t="str">
        <x:v>Registrar blueprint y endpoints Spark en la API.</x:v>
      </x:c>
      <x:c r="E46" s="53" t="str">
        <x:v>API</x:v>
      </x:c>
      <x:c r="F46" s="53" t="str">
        <x:v>Backend/Spark</x:v>
      </x:c>
      <x:c r="G46" s="53" t="str">
        <x:v>Zahid</x:v>
      </x:c>
      <x:c r="H46" s="53" t="str">
        <x:v>Pendiente</x:v>
      </x:c>
      <x:c r="I46" s="53" t="str">
        <x:v>Should</x:v>
      </x:c>
      <x:c r="J46" s="53" t="n">
        <x:v>8</x:v>
      </x:c>
      <x:c r="K46" s="53" t="str">
        <x:v>overview, analytics, clinical, unsupervised, MET y status responden bajo /api/v1/spark.</x:v>
      </x:c>
      <x:c r="L46" s="53" t="str">
        <x:v>No hay routes/spark.py ni registro del blueprint en app.py.</x:v>
      </x:c>
    </x:row>
    <x:row r="47">
      <x:c r="A47" s="53" t="str">
        <x:v>Sprint 5</x:v>
      </x:c>
      <x:c r="B47" s="53" t="str">
        <x:v>QA-001</x:v>
      </x:c>
      <x:c r="C47" s="53" t="str">
        <x:v>Pruebas web</x:v>
      </x:c>
      <x:c r="D47" s="53" t="str">
        <x:v>Configurar Vitest, React Testing Library y Playwright.</x:v>
      </x:c>
      <x:c r="E47" s="53" t="str">
        <x:v>Web</x:v>
      </x:c>
      <x:c r="F47" s="53" t="str">
        <x:v>Calidad</x:v>
      </x:c>
      <x:c r="G47" s="53" t="str">
        <x:v>Joel</x:v>
      </x:c>
      <x:c r="H47" s="53" t="str">
        <x:v>Pendiente</x:v>
      </x:c>
      <x:c r="I47" s="53" t="str">
        <x:v>Must</x:v>
      </x:c>
      <x:c r="J47" s="53" t="n">
        <x:v>8</x:v>
      </x:c>
      <x:c r="K47" s="53" t="str">
        <x:v>Scripts test; pruebas de login, roles, Pacientes y Enfermería; E2E crítico.</x:v>
      </x:c>
      <x:c r="L47" s="53" t="str">
        <x:v>package.json no incluye herramientas de prueba.</x:v>
      </x:c>
    </x:row>
    <x:row r="48">
      <x:c r="A48" s="53" t="str">
        <x:v>Sprint 5</x:v>
      </x:c>
      <x:c r="B48" s="53" t="str">
        <x:v>QA-002</x:v>
      </x:c>
      <x:c r="C48" s="53" t="str">
        <x:v>Pruebas API</x:v>
      </x:c>
      <x:c r="D48" s="53" t="str">
        <x:v>Agregar pytest para autenticación, pacientes, Enfermería y permisos.</x:v>
      </x:c>
      <x:c r="E48" s="53" t="str">
        <x:v>API</x:v>
      </x:c>
      <x:c r="F48" s="53" t="str">
        <x:v>Calidad</x:v>
      </x:c>
      <x:c r="G48" s="53" t="str">
        <x:v>Zahid</x:v>
      </x:c>
      <x:c r="H48" s="53" t="str">
        <x:v>Pendiente</x:v>
      </x:c>
      <x:c r="I48" s="53" t="str">
        <x:v>Must</x:v>
      </x:c>
      <x:c r="J48" s="53" t="n">
        <x:v>8</x:v>
      </x:c>
      <x:c r="K48" s="53" t="str">
        <x:v>Pruebas aisladas; casos 200/400/401/403/409; base de prueba.</x:v>
      </x:c>
      <x:c r="L48" s="53" t="str">
        <x:v>No se encontraron archivos de prueba.</x:v>
      </x:c>
    </x:row>
    <x:row r="49">
      <x:c r="A49" s="53" t="str">
        <x:v>Sprint 5</x:v>
      </x:c>
      <x:c r="B49" s="53" t="str">
        <x:v>QA-003</x:v>
      </x:c>
      <x:c r="C49" s="53" t="str">
        <x:v>Integración continua</x:v>
      </x:c>
      <x:c r="D49" s="53" t="str">
        <x:v>Ejecutar lint, build y pruebas automáticamente en GitHub Actions.</x:v>
      </x:c>
      <x:c r="E49" s="53" t="str">
        <x:v>Ambos</x:v>
      </x:c>
      <x:c r="F49" s="53" t="str">
        <x:v>DevOps</x:v>
      </x:c>
      <x:c r="G49" s="53" t="str">
        <x:v>Joel / Zahid</x:v>
      </x:c>
      <x:c r="H49" s="53" t="str">
        <x:v>Pendiente</x:v>
      </x:c>
      <x:c r="I49" s="53" t="str">
        <x:v>Should</x:v>
      </x:c>
      <x:c r="J49" s="53" t="n">
        <x:v>5</x:v>
      </x:c>
      <x:c r="K49" s="53" t="str">
        <x:v>Workflows por repo; fallan ante prueba/build inválido; evidencia en Actions.</x:v>
      </x:c>
      <x:c r="L49" s="53" t="str">
        <x:v>No existe .github/workflows en ninguno de los repositorios.</x:v>
      </x:c>
    </x:row>
    <x:row r="50">
      <x:c r="A50" s="53" t="str">
        <x:v>Sprint 5</x:v>
      </x:c>
      <x:c r="B50" s="53" t="str">
        <x:v>QA-004</x:v>
      </x:c>
      <x:c r="C50" s="53" t="str">
        <x:v>Calidad web</x:v>
      </x:c>
      <x:c r="D50" s="53" t="str">
        <x:v>Resolver advertencias de lint y dividir bundle principal.</x:v>
      </x:c>
      <x:c r="E50" s="53" t="str">
        <x:v>Web</x:v>
      </x:c>
      <x:c r="F50" s="53" t="str">
        <x:v>Calidad</x:v>
      </x:c>
      <x:c r="G50" s="53" t="str">
        <x:v>Joel</x:v>
      </x:c>
      <x:c r="H50" s="53" t="str">
        <x:v>En validación</x:v>
      </x:c>
      <x:c r="I50" s="53" t="str">
        <x:v>Should</x:v>
      </x:c>
      <x:c r="J50" s="53" t="n">
        <x:v>5</x:v>
      </x:c>
      <x:c r="K50" s="53" t="str">
        <x:v>Sin imports/variables sin uso; dependencias hooks correctas; chunks bajo criterio acordado.</x:v>
      </x:c>
      <x:c r="L50" s="53" t="str">
        <x:v>Build exitoso; lint arroja advertencias; bundle JS 878.38 kB.</x:v>
      </x:c>
    </x:row>
    <x:row r="51">
      <x:c r="A51" s="53" t="str">
        <x:v>Sprint 5</x:v>
      </x:c>
      <x:c r="B51" s="53" t="str">
        <x:v>SEC-001</x:v>
      </x:c>
      <x:c r="C51" s="53" t="str">
        <x:v>Seguridad API</x:v>
      </x:c>
      <x:c r="D51" s="53" t="str">
        <x:v>Eliminar secretos por defecto y documentar variables obligatorias.</x:v>
      </x:c>
      <x:c r="E51" s="53" t="str">
        <x:v>API</x:v>
      </x:c>
      <x:c r="F51" s="53" t="str">
        <x:v>Seguridad</x:v>
      </x:c>
      <x:c r="G51" s="53" t="str">
        <x:v>Zahid</x:v>
      </x:c>
      <x:c r="H51" s="53" t="str">
        <x:v>Pendiente</x:v>
      </x:c>
      <x:c r="I51" s="53" t="str">
        <x:v>Must</x:v>
      </x:c>
      <x:c r="J51" s="53" t="n">
        <x:v>5</x:v>
      </x:c>
      <x:c r="K51" s="53" t="str">
        <x:v>SECRET_KEY obligatoria; .env ignorado; .env.example sin secretos; arranque falla si falta secreto.</x:v>
      </x:c>
      <x:c r="L51" s="53" t="str">
        <x:v>auth_middleware.py usa tu-clave-secreta como valor por defecto; .env fue eliminado.</x:v>
      </x:c>
    </x:row>
    <x:row r="52">
      <x:c r="A52" s="53" t="str">
        <x:v>Sprint 5</x:v>
      </x:c>
      <x:c r="B52" s="53" t="str">
        <x:v>DOC-001</x:v>
      </x:c>
      <x:c r="C52" s="53" t="str">
        <x:v>Documentación</x:v>
      </x:c>
      <x:c r="D52" s="53" t="str">
        <x:v>Reemplazar README genérico y documentar instalación, arquitectura, roles y scripts.</x:v>
      </x:c>
      <x:c r="E52" s="53" t="str">
        <x:v>Ambos</x:v>
      </x:c>
      <x:c r="F52" s="53" t="str">
        <x:v>Documentación</x:v>
      </x:c>
      <x:c r="G52" s="53" t="str">
        <x:v>Jesús</x:v>
      </x:c>
      <x:c r="H52" s="53" t="str">
        <x:v>Pendiente</x:v>
      </x:c>
      <x:c r="I52" s="53" t="str">
        <x:v>Must</x:v>
      </x:c>
      <x:c r="J52" s="53" t="n">
        <x:v>5</x:v>
      </x:c>
      <x:c r="K52" s="53" t="str">
        <x:v>README de cada repo; requisitos; variables; ejecución; pruebas; solución de problemas.</x:v>
      </x:c>
      <x:c r="L52" s="53" t="str">
        <x:v>README web conserva texto genérico de Vite.</x:v>
      </x:c>
    </x:row>
    <x:row r="53">
      <x:c r="A53" s="53" t="str">
        <x:v>Sprint 5</x:v>
      </x:c>
      <x:c r="B53" s="53" t="str">
        <x:v>DOC-002</x:v>
      </x:c>
      <x:c r="C53" s="53" t="str">
        <x:v>Documentación</x:v>
      </x:c>
      <x:c r="D53" s="53" t="str">
        <x:v>Crear manual de usuario y manual técnico con capturas y endpoints.</x:v>
      </x:c>
      <x:c r="E53" s="53" t="str">
        <x:v>Ambos</x:v>
      </x:c>
      <x:c r="F53" s="53" t="str">
        <x:v>Documentación</x:v>
      </x:c>
      <x:c r="G53" s="53" t="str">
        <x:v>Jesús</x:v>
      </x:c>
      <x:c r="H53" s="53" t="str">
        <x:v>Pendiente</x:v>
      </x:c>
      <x:c r="I53" s="53" t="str">
        <x:v>Should</x:v>
      </x:c>
      <x:c r="J53" s="53" t="n">
        <x:v>5</x:v>
      </x:c>
      <x:c r="K53" s="53" t="str">
        <x:v>Flujos por rol; capturas; endpoints; colecciones; respaldos; despliegue.</x:v>
      </x:c>
      <x:c r="L53" s="53" t="str">
        <x:v>No se encontró documentación completa versionada.</x:v>
      </x:c>
    </x:row>
    <x:row r="54">
      <x:c r="A54" s="53" t="str">
        <x:v>Sprint 6</x:v>
      </x:c>
      <x:c r="B54" s="53" t="str">
        <x:v>VAL-001</x:v>
      </x:c>
      <x:c r="C54" s="53" t="str">
        <x:v>Cierre</x:v>
      </x:c>
      <x:c r="D54" s="53" t="str">
        <x:v>Ejecutar pruebas funcionales por rol y matriz de aceptación.</x:v>
      </x:c>
      <x:c r="E54" s="53" t="str">
        <x:v>Ambos</x:v>
      </x:c>
      <x:c r="F54" s="53" t="str">
        <x:v>Validación</x:v>
      </x:c>
      <x:c r="G54" s="53" t="str">
        <x:v>Todo el equipo</x:v>
      </x:c>
      <x:c r="H54" s="53" t="str">
        <x:v>Pendiente</x:v>
      </x:c>
      <x:c r="I54" s="53" t="str">
        <x:v>Must</x:v>
      </x:c>
      <x:c r="J54" s="53" t="n">
        <x:v>8</x:v>
      </x:c>
      <x:c r="K54" s="53" t="str">
        <x:v>Casos firmados para admin, administrativo, médico, enfermería y estudios.</x:v>
      </x:c>
      <x:c r="L54" s="53" t="str">
        <x:v>Debe realizarse después de QA-001/QA-002.</x:v>
      </x:c>
    </x:row>
    <x:row r="55">
      <x:c r="A55" s="53" t="str">
        <x:v>Sprint 6</x:v>
      </x:c>
      <x:c r="B55" s="53" t="str">
        <x:v>VAL-002</x:v>
      </x:c>
      <x:c r="C55" s="53" t="str">
        <x:v>Cierre</x:v>
      </x:c>
      <x:c r="D55" s="53" t="str">
        <x:v>Verificar seguridad, privacidad y limpieza de datos locales.</x:v>
      </x:c>
      <x:c r="E55" s="53" t="str">
        <x:v>Ambos</x:v>
      </x:c>
      <x:c r="F55" s="53" t="str">
        <x:v>Seguridad</x:v>
      </x:c>
      <x:c r="G55" s="53" t="str">
        <x:v>Joel / Zahid</x:v>
      </x:c>
      <x:c r="H55" s="53" t="str">
        <x:v>En validación</x:v>
      </x:c>
      <x:c r="I55" s="53" t="str">
        <x:v>Must</x:v>
      </x:c>
      <x:c r="J55" s="53" t="n">
        <x:v>5</x:v>
      </x:c>
      <x:c r="K55" s="53" t="str">
        <x:v>No hay secretos; cachés clínicas se limpian; permisos API; logs sin datos sensibles.</x:v>
      </x:c>
      <x:c r="L55" s="53" t="str">
        <x:v>Revisión parcial; falta evidencia automatizada.</x:v>
      </x:c>
    </x:row>
    <x:row r="56">
      <x:c r="A56" s="53" t="str">
        <x:v>Sprint 6</x:v>
      </x:c>
      <x:c r="B56" s="53" t="str">
        <x:v>VAL-003</x:v>
      </x:c>
      <x:c r="C56" s="53" t="str">
        <x:v>Cierre</x:v>
      </x:c>
      <x:c r="D56" s="53" t="str">
        <x:v>Validar diseño responsivo, accesibilidad e idiomas.</x:v>
      </x:c>
      <x:c r="E56" s="53" t="str">
        <x:v>Web</x:v>
      </x:c>
      <x:c r="F56" s="53" t="str">
        <x:v>Diseño/QA</x:v>
      </x:c>
      <x:c r="G56" s="53" t="str">
        <x:v>Jaime</x:v>
      </x:c>
      <x:c r="H56" s="53" t="str">
        <x:v>Pendiente</x:v>
      </x:c>
      <x:c r="I56" s="53" t="str">
        <x:v>Should</x:v>
      </x:c>
      <x:c r="J56" s="53" t="n">
        <x:v>5</x:v>
      </x:c>
      <x:c r="K56" s="53" t="str">
        <x:v>Checklist firmado; teclado; contraste; ES/EN; resoluciones objetivo.</x:v>
      </x:c>
      <x:c r="L56" s="53" t="str">
        <x:v>Requiere evidencia versionada.</x:v>
      </x:c>
    </x:row>
    <x:row r="57">
      <x:c r="A57" s="53" t="str">
        <x:v>Sprint 6</x:v>
      </x:c>
      <x:c r="B57" s="53" t="str">
        <x:v>DOC-003</x:v>
      </x:c>
      <x:c r="C57" s="53" t="str">
        <x:v>Cierre</x:v>
      </x:c>
      <x:c r="D57" s="53" t="str">
        <x:v>Actualizar PBL, matriz de trazabilidad, evidencias y acta de cierre.</x:v>
      </x:c>
      <x:c r="E57" s="53" t="str">
        <x:v>Ambos</x:v>
      </x:c>
      <x:c r="F57" s="53" t="str">
        <x:v>Documentación</x:v>
      </x:c>
      <x:c r="G57" s="53" t="str">
        <x:v>Jesús</x:v>
      </x:c>
      <x:c r="H57" s="53" t="str">
        <x:v>Pendiente</x:v>
      </x:c>
      <x:c r="I57" s="53" t="str">
        <x:v>Must</x:v>
      </x:c>
      <x:c r="J57" s="53" t="n">
        <x:v>5</x:v>
      </x:c>
      <x:c r="K57" s="53" t="str">
        <x:v>Cada historia enlaza commit/PR/prueba; estados finales coherentes; acta del equipo.</x:v>
      </x:c>
      <x:c r="L57" s="53" t="str">
        <x:v>Este archivo inicia la matriz; faltan commits de cierre.</x:v>
      </x:c>
    </x:row>
    <x:row r="58">
      <x:c r="A58" s="54" t="str">
        <x:v>Sprint 6</x:v>
      </x:c>
      <x:c r="B58" s="54" t="str">
        <x:v>REL-001</x:v>
      </x:c>
      <x:c r="C58" s="54" t="str">
        <x:v>Liberación</x:v>
      </x:c>
      <x:c r="D58" s="54" t="str">
        <x:v>Etiquetar versión final y documentar despliegue y reversión.</x:v>
      </x:c>
      <x:c r="E58" s="54" t="str">
        <x:v>Ambos</x:v>
      </x:c>
      <x:c r="F58" s="54" t="str">
        <x:v>Release</x:v>
      </x:c>
      <x:c r="G58" s="54" t="str">
        <x:v>Joel / Zahid / Jesús</x:v>
      </x:c>
      <x:c r="H58" s="54" t="str">
        <x:v>Pendiente</x:v>
      </x:c>
      <x:c r="I58" s="54" t="str">
        <x:v>Should</x:v>
      </x:c>
      <x:c r="J58" s="54" t="n">
        <x:v>5</x:v>
      </x:c>
      <x:c r="K58" s="54" t="str">
        <x:v>Tag por repo; changelog; pasos de despliegue; rollback probado.</x:v>
      </x:c>
      <x:c r="L58" s="54" t="str">
        <x:v>No se encontró evidencia de release final.</x:v>
      </x:c>
    </x:row>
  </x:sheetData>
  <x:mergeCells>
    <x:mergeCell ref="A1:L1"/>
    <x:mergeCell ref="A2:L2"/>
  </x:mergeCells>
  <x:conditionalFormatting sqref="H5:H58">
    <x:cfRule type="containsText" dxfId="0" priority="1" operator="containsText" text="Pendiente"/>
    <x:cfRule type="containsText" dxfId="1" priority="2" operator="containsText" text="En validación"/>
    <x:cfRule type="containsText" dxfId="2" priority="3" operator="containsText" text="Terminado"/>
  </x:conditionalFormatting>
  <x:pageMargins left="0.7" right="0.7" top="0.75" bottom="0.75" header="0.3" footer="0.3"/>
  <x:tableParts count="1">
    <x:tablePart xmlns:r="http://schemas.openxmlformats.org/officeDocument/2006/relationships" r:id="Ra7c61c7a77914a6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8" hidden="0" customWidth="1"/>
    <x:col min="4" max="4" width="18" hidden="0" customWidth="1"/>
    <x:col min="5" max="5" width="18" hidden="0" customWidth="1"/>
    <x:col min="6" max="6" width="18" hidden="0" customWidth="1"/>
    <x:col min="7" max="7" width="40" hidden="0" customWidth="1"/>
  </x:cols>
  <x:sheetData>
    <x:row r="1" ht="30" customHeight="1">
      <x:c r="A1" s="55" t="str">
        <x:v>MATRIZ DE INTEGRACIÓN WEB–API</x:v>
      </x:c>
      <x:c r="B1" s="56"/>
      <x:c r="C1" s="56"/>
      <x:c r="D1" s="56"/>
      <x:c r="E1" s="56"/>
      <x:c r="F1" s="56"/>
      <x:c r="G1" s="56"/>
    </x:row>
    <x:row r="2" ht="32" customHeight="1">
      <x:c r="A2" s="57" t="str">
        <x:v>Mapa auditable de módulos, pantallas/servicios, endpoints y situación observada.</x:v>
      </x:c>
      <x:c r="B2" s="56"/>
      <x:c r="C2" s="56"/>
      <x:c r="D2" s="56"/>
      <x:c r="E2" s="56"/>
      <x:c r="F2" s="56"/>
      <x:c r="G2" s="56"/>
    </x:row>
    <x:row r="3">
      <x:c r="A3" s="56"/>
      <x:c r="B3" s="56"/>
      <x:c r="C3" s="56"/>
      <x:c r="D3" s="56"/>
      <x:c r="E3" s="56"/>
      <x:c r="F3" s="56"/>
      <x:c r="G3" s="56"/>
    </x:row>
    <x:row r="4" ht="32" customHeight="1">
      <x:c r="A4" s="51" t="str">
        <x:v>Módulo</x:v>
      </x:c>
      <x:c r="B4" s="51" t="str">
        <x:v>Web</x:v>
      </x:c>
      <x:c r="C4" s="51" t="str">
        <x:v>API / endpoint</x:v>
      </x:c>
      <x:c r="D4" s="51" t="str">
        <x:v>Estado</x:v>
      </x:c>
      <x:c r="E4" s="51" t="str">
        <x:v>Responsable cierre</x:v>
      </x:c>
      <x:c r="F4" s="51" t="str">
        <x:v>PBL</x:v>
      </x:c>
      <x:c r="G4" s="51" t="str">
        <x:v>Observación</x:v>
      </x:c>
    </x:row>
    <x:row r="5">
      <x:c r="A5" s="52" t="str">
        <x:v>Autenticación</x:v>
      </x:c>
      <x:c r="B5" s="52" t="str">
        <x:v>AuthContext, LoginScreen, authService</x:v>
      </x:c>
      <x:c r="C5" s="52" t="str">
        <x:v>/api/v1/auth/login, /me, /logout</x:v>
      </x:c>
      <x:c r="D5" s="52" t="str">
        <x:v>Implementado</x:v>
      </x:c>
      <x:c r="E5" s="52" t="str">
        <x:v>Joel / Zahid</x:v>
      </x:c>
      <x:c r="F5" s="52" t="str">
        <x:v>MIG-008,MIG-009</x:v>
      </x:c>
      <x:c r="G5" s="52" t="str">
        <x:v>Falta prueba automatizada por rol.</x:v>
      </x:c>
    </x:row>
    <x:row r="6">
      <x:c r="A6" s="53" t="str">
        <x:v>Pacientes</x:v>
      </x:c>
      <x:c r="B6" s="53" t="str">
        <x:v>PacientesScreen, NuevoPaciente, Detalle</x:v>
      </x:c>
      <x:c r="C6" s="53" t="str">
        <x:v>/gestion-pacientes, /patients, /accounts</x:v>
      </x:c>
      <x:c r="D6" s="53" t="str">
        <x:v>Implementado</x:v>
      </x:c>
      <x:c r="E6" s="53" t="str">
        <x:v>Joel / Zahid</x:v>
      </x:c>
      <x:c r="F6" s="53" t="str">
        <x:v>PAC-001..PAC-006</x:v>
      </x:c>
      <x:c r="G6" s="53" t="str">
        <x:v>Duplicidad/concurrencia requiere evidencia.</x:v>
      </x:c>
    </x:row>
    <x:row r="7">
      <x:c r="A7" s="53" t="str">
        <x:v>Administrativo</x:v>
      </x:c>
      <x:c r="B7" s="53" t="str">
        <x:v>Censo, CorteCaja, cuenta</x:v>
      </x:c>
      <x:c r="C7" s="53" t="str">
        <x:v>/census, /cash-cut, /accounts, billing</x:v>
      </x:c>
      <x:c r="D7" s="53" t="str">
        <x:v>Implementado</x:v>
      </x:c>
      <x:c r="E7" s="53" t="str">
        <x:v>Joel / Zahid</x:v>
      </x:c>
      <x:c r="F7" s="53" t="str">
        <x:v>PAC-007..PAC-009</x:v>
      </x:c>
      <x:c r="G7" s="53" t="str">
        <x:v>PDF y Excel presentes en API.</x:v>
      </x:c>
    </x:row>
    <x:row r="8">
      <x:c r="A8" s="53" t="str">
        <x:v>Enfermería</x:v>
      </x:c>
      <x:c r="B8" s="53" t="str">
        <x:v>Panel, detalle, 6 formularios</x:v>
      </x:c>
      <x:c r="C8" s="53" t="str">
        <x:v>Actualmente usa /medico y /appointments/...</x:v>
      </x:c>
      <x:c r="D8" s="53" t="str">
        <x:v>Básico implementado</x:v>
      </x:c>
      <x:c r="E8" s="53" t="str">
        <x:v>Joel / Zahid</x:v>
      </x:c>
      <x:c r="F8" s="53" t="str">
        <x:v>ENF-001..ENF-012</x:v>
      </x:c>
      <x:c r="G8" s="53" t="str">
        <x:v>Faltan endpoint propio, alertas avanzadas y hoja consolidada.</x:v>
      </x:c>
    </x:row>
    <x:row r="9">
      <x:c r="A9" s="53" t="str">
        <x:v>Médico</x:v>
      </x:c>
      <x:c r="B9" s="53" t="str">
        <x:v>Historia, signos, notas, diagnóstico, receta</x:v>
      </x:c>
      <x:c r="C9" s="53" t="str">
        <x:v>/medico, /appointments/...</x:v>
      </x:c>
      <x:c r="D9" s="53" t="str">
        <x:v>Implementado</x:v>
      </x:c>
      <x:c r="E9" s="53" t="str">
        <x:v>Joel / Zahid</x:v>
      </x:c>
      <x:c r="F9" s="53" t="str">
        <x:v>MED-001,MED-002</x:v>
      </x:c>
      <x:c r="G9" s="53" t="str">
        <x:v>Validar con pruebas por rol.</x:v>
      </x:c>
    </x:row>
    <x:row r="10">
      <x:c r="A10" s="53" t="str">
        <x:v>Estudios</x:v>
      </x:c>
      <x:c r="B10" s="53" t="str">
        <x:v>Pendientes, carga, vista, edición</x:v>
      </x:c>
      <x:c r="C10" s="53" t="str">
        <x:v>/exams y /studies</x:v>
      </x:c>
      <x:c r="D10" s="53" t="str">
        <x:v>Implementado</x:v>
      </x:c>
      <x:c r="E10" s="53" t="str">
        <x:v>Joel / Zahid</x:v>
      </x:c>
      <x:c r="F10" s="53" t="str">
        <x:v>EST-001,EST-002</x:v>
      </x:c>
      <x:c r="G10" s="53" t="str">
        <x:v>Hay rutas duplicadas de counts en studies.py para revisar.</x:v>
      </x:c>
    </x:row>
    <x:row r="11">
      <x:c r="A11" s="53" t="str">
        <x:v>Configuración</x:v>
      </x:c>
      <x:c r="B11" s="53" t="str">
        <x:v>Usuarios, camas, servicios, diagnósticos, backup</x:v>
      </x:c>
      <x:c r="C11" s="53" t="str">
        <x:v>/auth/users, /beds, /catalog, /backup</x:v>
      </x:c>
      <x:c r="D11" s="53" t="str">
        <x:v>Implementado</x:v>
      </x:c>
      <x:c r="E11" s="53" t="str">
        <x:v>Joel / Zahid</x:v>
      </x:c>
      <x:c r="F11" s="53" t="str">
        <x:v>CFG-001,CFG-002</x:v>
      </x:c>
      <x:c r="G11" s="53" t="str">
        <x:v>Solo admin en frontend; validar todos los endpoints.</x:v>
      </x:c>
    </x:row>
    <x:row r="12">
      <x:c r="A12" s="53" t="str">
        <x:v>Idiomas</x:v>
      </x:c>
      <x:c r="B12" s="53" t="str">
        <x:v>i18next ES/EN</x:v>
      </x:c>
      <x:c r="C12" s="53" t="str">
        <x:v>No aplica</x:v>
      </x:c>
      <x:c r="D12" s="53" t="str">
        <x:v>Implementado</x:v>
      </x:c>
      <x:c r="E12" s="53" t="str">
        <x:v>Joel / Jaime</x:v>
      </x:c>
      <x:c r="F12" s="53" t="str">
        <x:v>I18N-001</x:v>
      </x:c>
      <x:c r="G12" s="53" t="str">
        <x:v>Validar textos residuales.</x:v>
      </x:c>
    </x:row>
    <x:row r="13">
      <x:c r="A13" s="53" t="str">
        <x:v>Spark</x:v>
      </x:c>
      <x:c r="B13" s="53" t="str">
        <x:v>Pantallas y sparkService existen</x:v>
      </x:c>
      <x:c r="C13" s="53" t="str">
        <x:v>No hay blueprint Spark registrado</x:v>
      </x:c>
      <x:c r="D13" s="53" t="str">
        <x:v>Pendiente</x:v>
      </x:c>
      <x:c r="E13" s="53" t="str">
        <x:v>Joel / Zahid</x:v>
      </x:c>
      <x:c r="F13" s="53" t="str">
        <x:v>SPK-001,SPK-002</x:v>
      </x:c>
      <x:c r="G13" s="53" t="str">
        <x:v>No marcar completo hasta conectar router y API.</x:v>
      </x:c>
    </x:row>
    <x:row r="14">
      <x:c r="A14" s="54" t="str">
        <x:v>Pruebas/CI</x:v>
      </x:c>
      <x:c r="B14" s="54" t="str">
        <x:v>Sin Vitest/Playwright/workflow</x:v>
      </x:c>
      <x:c r="C14" s="54" t="str">
        <x:v>Sin pytest/workflow</x:v>
      </x:c>
      <x:c r="D14" s="54" t="str">
        <x:v>Pendiente</x:v>
      </x:c>
      <x:c r="E14" s="54" t="str">
        <x:v>Joel / Zahid</x:v>
      </x:c>
      <x:c r="F14" s="54" t="str">
        <x:v>QA-001..QA-003</x:v>
      </x:c>
      <x:c r="G14" s="54" t="str">
        <x:v>Bloqueo principal de trazabilidad técnica.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8c3906b93a8b4c22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22" hidden="0" customWidth="1"/>
    <x:col min="4" max="4" width="52" hidden="0" customWidth="1"/>
    <x:col min="5" max="5" width="44" hidden="0" customWidth="1"/>
    <x:col min="6" max="6" width="44" hidden="0" customWidth="1"/>
  </x:cols>
  <x:sheetData>
    <x:row r="1" ht="30" customHeight="1">
      <x:c r="A1" s="55" t="str">
        <x:v>PLAN DE COMMITS POR INTEGRANTE</x:v>
      </x:c>
      <x:c r="B1" s="56"/>
      <x:c r="C1" s="56"/>
      <x:c r="D1" s="56"/>
      <x:c r="E1" s="56"/>
      <x:c r="F1" s="56"/>
    </x:row>
    <x:row r="2" ht="32" customHeight="1">
      <x:c r="A2" s="57" t="str">
        <x:v>Cada mensaje debe corresponder a archivos y cambios reales. No usar --allow-empty ni cambiar autores de commits existentes.</x:v>
      </x:c>
      <x:c r="B2" s="56"/>
      <x:c r="C2" s="56"/>
      <x:c r="D2" s="56"/>
      <x:c r="E2" s="56"/>
      <x:c r="F2" s="56"/>
    </x:row>
    <x:row r="3">
      <x:c r="A3" s="56"/>
      <x:c r="B3" s="56"/>
      <x:c r="C3" s="56"/>
      <x:c r="D3" s="56"/>
      <x:c r="E3" s="56"/>
      <x:c r="F3" s="56"/>
    </x:row>
    <x:row r="4" ht="32" customHeight="1">
      <x:c r="A4" s="51" t="str">
        <x:v>Integrante</x:v>
      </x:c>
      <x:c r="B4" s="51" t="str">
        <x:v>Repositorio</x:v>
      </x:c>
      <x:c r="C4" s="51" t="str">
        <x:v>Historias PBL</x:v>
      </x:c>
      <x:c r="D4" s="51" t="str">
        <x:v>Mensaje de commit recomendado</x:v>
      </x:c>
      <x:c r="E4" s="51" t="str">
        <x:v>Contenido esperado</x:v>
      </x:c>
      <x:c r="F4" s="51" t="str">
        <x:v>Regla / nota</x:v>
      </x:c>
    </x:row>
    <x:row r="5">
      <x:c r="A5" s="52" t="str">
        <x:v>Joel</x:v>
      </x:c>
      <x:c r="B5" s="52" t="str">
        <x:v>Web</x:v>
      </x:c>
      <x:c r="C5" s="52" t="str">
        <x:v>MIG-003,MIG-004,MIG-005</x:v>
      </x:c>
      <x:c r="D5" s="52" t="str">
        <x:v>feat(web): initialize React Vite architecture and protected routes</x:v>
      </x:c>
      <x:c r="E5" s="52" t="str">
        <x:v>package.json, src/main.jsx, src/router/AppRouter.jsx</x:v>
      </x:c>
      <x:c r="F5" s="52" t="str">
        <x:v>Usar solo si estos cambios aún no estaban registrados; no crear commit vacío.</x:v>
      </x:c>
    </x:row>
    <x:row r="6">
      <x:c r="A6" s="53" t="str">
        <x:v>Joel</x:v>
      </x:c>
      <x:c r="B6" s="53" t="str">
        <x:v>Web</x:v>
      </x:c>
      <x:c r="C6" s="53" t="str">
        <x:v>PAC-001,PAC-002</x:v>
      </x:c>
      <x:c r="D6" s="53" t="str">
        <x:v>feat(admin): implement patient list search pagination and cache</x:v>
      </x:c>
      <x:c r="E6" s="53" t="str">
        <x:v>src/pages/administrativo/PacientesScreen.jsx, src/services/adminService.js, src/services/adminCache.js</x:v>
      </x:c>
      <x:c r="F6" s="53" t="str">
        <x:v>Debe contener cambios reales o documentación de trazabilidad si la función ya estaba subida.</x:v>
      </x:c>
    </x:row>
    <x:row r="7">
      <x:c r="A7" s="53" t="str">
        <x:v>Joel</x:v>
      </x:c>
      <x:c r="B7" s="53" t="str">
        <x:v>Web</x:v>
      </x:c>
      <x:c r="C7" s="53" t="str">
        <x:v>PAC-003,PAC-004,PAC-005</x:v>
      </x:c>
      <x:c r="D7" s="53" t="str">
        <x:v>feat(admin): add patient registration detail and edit workflows</x:v>
      </x:c>
      <x:c r="E7" s="53" t="str">
        <x:v>NuevoPacienteScreen.jsx, PacienteDetailScreen.jsx, AppRouter.jsx</x:v>
      </x:c>
      <x:c r="F7" s="53" t="str">
        <x:v>Separar en dos commits si el diff es grande.</x:v>
      </x:c>
    </x:row>
    <x:row r="8">
      <x:c r="A8" s="53" t="str">
        <x:v>Joel</x:v>
      </x:c>
      <x:c r="B8" s="53" t="str">
        <x:v>Web</x:v>
      </x:c>
      <x:c r="C8" s="53" t="str">
        <x:v>ENF-001,ENF-002,ENF-003</x:v>
      </x:c>
      <x:c r="D8" s="53" t="str">
        <x:v>feat(nursing): add patient dashboard detail and shared context</x:v>
      </x:c>
      <x:c r="E8" s="53" t="str">
        <x:v>src/pages/enfermeria, src/context/PatientContext.jsx</x:v>
      </x:c>
      <x:c r="F8" s="53" t="str">
        <x:v>No mezclar con Médico o Estudios.</x:v>
      </x:c>
    </x:row>
    <x:row r="9">
      <x:c r="A9" s="53" t="str">
        <x:v>Joel</x:v>
      </x:c>
      <x:c r="B9" s="53" t="str">
        <x:v>Web</x:v>
      </x:c>
      <x:c r="C9" s="53" t="str">
        <x:v>ENF-004,ENF-005,ENF-006,ENF-009</x:v>
      </x:c>
      <x:c r="D9" s="53" t="str">
        <x:v>feat(nursing): connect clinical forms and histories</x:v>
      </x:c>
      <x:c r="E9" s="53" t="str">
        <x:v>Pantallas de signos, valoración, notas y cuidados</x:v>
      </x:c>
      <x:c r="F9" s="53" t="str">
        <x:v>Un commit por formulario si todavía existen cambios sin registrar.</x:v>
      </x:c>
    </x:row>
    <x:row r="10">
      <x:c r="A10" s="53" t="str">
        <x:v>Joel</x:v>
      </x:c>
      <x:c r="B10" s="53" t="str">
        <x:v>Web</x:v>
      </x:c>
      <x:c r="C10" s="53" t="str">
        <x:v>ENF-007,ENF-008</x:v>
      </x:c>
      <x:c r="D10" s="53" t="str">
        <x:v>feat(nursing): implement medications and fluid balance views</x:v>
      </x:c>
      <x:c r="E10" s="53" t="str">
        <x:v>EnfermeriaMedicationsScreen.jsx, EnfermeriaFluidBalanceScreen.jsx</x:v>
      </x:c>
      <x:c r="F10" s="53" t="str">
        <x:v>Registrar pruebas manuales o automatizadas junto al cambio.</x:v>
      </x:c>
    </x:row>
    <x:row r="11">
      <x:c r="A11" s="53" t="str">
        <x:v>Joel</x:v>
      </x:c>
      <x:c r="B11" s="53" t="str">
        <x:v>Web</x:v>
      </x:c>
      <x:c r="C11" s="53" t="str">
        <x:v>SPK-001</x:v>
      </x:c>
      <x:c r="D11" s="53" t="str">
        <x:v>feat(spark): register analytics routes and navigation</x:v>
      </x:c>
      <x:c r="E11" s="53" t="str">
        <x:v>src/router/AppRouter.jsx, Sidebar.jsx, pages/spark</x:v>
      </x:c>
      <x:c r="F11" s="53" t="str">
        <x:v>Solo después de que la API tenga endpoints reales.</x:v>
      </x:c>
    </x:row>
    <x:row r="12">
      <x:c r="A12" s="53" t="str">
        <x:v>Joel</x:v>
      </x:c>
      <x:c r="B12" s="53" t="str">
        <x:v>Web</x:v>
      </x:c>
      <x:c r="C12" s="53" t="str">
        <x:v>QA-001,QA-004</x:v>
      </x:c>
      <x:c r="D12" s="53" t="str">
        <x:v>test(web): add critical workflow coverage and fix lint warnings</x:v>
      </x:c>
      <x:c r="E12" s="53" t="str">
        <x:v>package.json, tests, archivos corregidos</x:v>
      </x:c>
      <x:c r="F12" s="53" t="str">
        <x:v>Debe incluir pruebas que ejecuten y correcciones reales.</x:v>
      </x:c>
    </x:row>
    <x:row r="13">
      <x:c r="A13" s="53" t="str">
        <x:v>Joel</x:v>
      </x:c>
      <x:c r="B13" s="53" t="str">
        <x:v>Web</x:v>
      </x:c>
      <x:c r="C13" s="53" t="str">
        <x:v>QA-003</x:v>
      </x:c>
      <x:c r="D13" s="53" t="str">
        <x:v>ci(web): run lint build and tests on pull requests</x:v>
      </x:c>
      <x:c r="E13" s="53" t="str">
        <x:v>.github/workflows/web-ci.yml</x:v>
      </x:c>
      <x:c r="F13" s="53" t="str">
        <x:v>No usar commit vacío.</x:v>
      </x:c>
    </x:row>
    <x:row r="14">
      <x:c r="A14" s="53" t="str">
        <x:v>Zahid</x:v>
      </x:c>
      <x:c r="B14" s="53" t="str">
        <x:v>API</x:v>
      </x:c>
      <x:c r="C14" s="53" t="str">
        <x:v>MIG-007,MIG-008,MIG-009</x:v>
      </x:c>
      <x:c r="D14" s="53" t="str">
        <x:v>feat(api): configure blueprints JWT and role authorization</x:v>
      </x:c>
      <x:c r="E14" s="53" t="str">
        <x:v>app.py, config.py, middleware, routes/auth.py</x:v>
      </x:c>
      <x:c r="F14" s="53" t="str">
        <x:v>Validar que no se atribuya trabajo ya publicado por otra persona.</x:v>
      </x:c>
    </x:row>
    <x:row r="15">
      <x:c r="A15" s="53" t="str">
        <x:v>Zahid</x:v>
      </x:c>
      <x:c r="B15" s="53" t="str">
        <x:v>API</x:v>
      </x:c>
      <x:c r="C15" s="53" t="str">
        <x:v>PAC-002,PAC-003,PAC-004,PAC-005</x:v>
      </x:c>
      <x:c r="D15" s="53" t="str">
        <x:v>feat(api): complete patient administration endpoints</x:v>
      </x:c>
      <x:c r="E15" s="53" t="str">
        <x:v>routes/administrative.py, services/administrative_service.py</x:v>
      </x:c>
      <x:c r="F15" s="53" t="str">
        <x:v>Dividir búsqueda/paginación de alta/edición.</x:v>
      </x:c>
    </x:row>
    <x:row r="16">
      <x:c r="A16" s="53" t="str">
        <x:v>Zahid</x:v>
      </x:c>
      <x:c r="B16" s="53" t="str">
        <x:v>API</x:v>
      </x:c>
      <x:c r="C16" s="53" t="str">
        <x:v>PAC-006</x:v>
      </x:c>
      <x:c r="D16" s="53" t="str">
        <x:v>fix(patients): enforce duplicate detection and concurrent-safe creation</x:v>
      </x:c>
      <x:c r="E16" s="53" t="str">
        <x:v>patient service, índices/migración, pruebas</x:v>
      </x:c>
      <x:c r="F16" s="53" t="str">
        <x:v>Debe incluir 409 y prueba de concurrencia.</x:v>
      </x:c>
    </x:row>
    <x:row r="17">
      <x:c r="A17" s="53" t="str">
        <x:v>Zahid</x:v>
      </x:c>
      <x:c r="B17" s="53" t="str">
        <x:v>API</x:v>
      </x:c>
      <x:c r="C17" s="53" t="str">
        <x:v>ENF-001,ENF-002</x:v>
      </x:c>
      <x:c r="D17" s="53" t="str">
        <x:v>feat(api): expose dedicated nursing patient endpoints</x:v>
      </x:c>
      <x:c r="E17" s="53" t="str">
        <x:v>routes/nursing.py o equivalente, app.py</x:v>
      </x:c>
      <x:c r="F17" s="53" t="str">
        <x:v>Reemplazar dependencia web de /medico.</x:v>
      </x:c>
    </x:row>
    <x:row r="18">
      <x:c r="A18" s="53" t="str">
        <x:v>Zahid</x:v>
      </x:c>
      <x:c r="B18" s="53" t="str">
        <x:v>API</x:v>
      </x:c>
      <x:c r="C18" s="53" t="str">
        <x:v>ENF-004,ENF-005,ENF-006,ENF-009</x:v>
      </x:c>
      <x:c r="D18" s="53" t="str">
        <x:v>feat(api): persist nursing clinical records with audit metadata</x:v>
      </x:c>
      <x:c r="E18" s="53" t="str">
        <x:v>rutas/servicios de Enfermería</x:v>
      </x:c>
      <x:c r="F18" s="53" t="str">
        <x:v>Separar por dominio si el diff excede un cambio lógico.</x:v>
      </x:c>
    </x:row>
    <x:row r="19">
      <x:c r="A19" s="53" t="str">
        <x:v>Zahid</x:v>
      </x:c>
      <x:c r="B19" s="53" t="str">
        <x:v>API</x:v>
      </x:c>
      <x:c r="C19" s="53" t="str">
        <x:v>ENF-010</x:v>
      </x:c>
      <x:c r="D19" s="53" t="str">
        <x:v>feat(api): validate vital ranges shifts and clinical corrections</x:v>
      </x:c>
      <x:c r="E19" s="53" t="str">
        <x:v>validadores, configuración, auditoría, pruebas</x:v>
      </x:c>
      <x:c r="F19" s="53" t="str">
        <x:v>Incluir reglas parametrizadas, no números repetidos.</x:v>
      </x:c>
    </x:row>
    <x:row r="20">
      <x:c r="A20" s="53" t="str">
        <x:v>Zahid</x:v>
      </x:c>
      <x:c r="B20" s="53" t="str">
        <x:v>API</x:v>
      </x:c>
      <x:c r="C20" s="53" t="str">
        <x:v>ENF-011</x:v>
      </x:c>
      <x:c r="D20" s="53" t="str">
        <x:v>feat(api): link medication administration to prescriptions</x:v>
      </x:c>
      <x:c r="E20" s="53" t="str">
        <x:v>servicio médico/enfermería y pruebas</x:v>
      </x:c>
      <x:c r="F20" s="53" t="str">
        <x:v>Bloquear doble administración y justificar omisión/retraso.</x:v>
      </x:c>
    </x:row>
    <x:row r="21">
      <x:c r="A21" s="53" t="str">
        <x:v>Zahid</x:v>
      </x:c>
      <x:c r="B21" s="53" t="str">
        <x:v>API</x:v>
      </x:c>
      <x:c r="C21" s="53" t="str">
        <x:v>ENF-012</x:v>
      </x:c>
      <x:c r="D21" s="53" t="str">
        <x:v>feat(api): generate consolidated nursing shift report</x:v>
      </x:c>
      <x:c r="E21" s="53" t="str">
        <x:v>ruta y servicio PDF de hoja de Enfermería</x:v>
      </x:c>
      <x:c r="F21" s="53" t="str">
        <x:v>Añadir prueba del documento.</x:v>
      </x:c>
    </x:row>
    <x:row r="22">
      <x:c r="A22" s="53" t="str">
        <x:v>Zahid</x:v>
      </x:c>
      <x:c r="B22" s="53" t="str">
        <x:v>API</x:v>
      </x:c>
      <x:c r="C22" s="53" t="str">
        <x:v>SPK-002</x:v>
      </x:c>
      <x:c r="D22" s="53" t="str">
        <x:v>feat(spark): register analytics blueprint and status endpoints</x:v>
      </x:c>
      <x:c r="E22" s="53" t="str">
        <x:v>routes/spark.py, app.py, services Spark</x:v>
      </x:c>
      <x:c r="F22" s="53" t="str">
        <x:v>Comprobar OPTIONS y GET bajo /api/v1/spark.</x:v>
      </x:c>
    </x:row>
    <x:row r="23">
      <x:c r="A23" s="53" t="str">
        <x:v>Zahid</x:v>
      </x:c>
      <x:c r="B23" s="53" t="str">
        <x:v>API</x:v>
      </x:c>
      <x:c r="C23" s="53" t="str">
        <x:v>SEC-001,QA-002</x:v>
      </x:c>
      <x:c r="D23" s="53" t="str">
        <x:v>security(api): require environment secrets and add API tests</x:v>
      </x:c>
      <x:c r="E23" s="53" t="str">
        <x:v>config/middleware, .env.example, tests</x:v>
      </x:c>
      <x:c r="F23" s="53" t="str">
        <x:v>Nunca volver a subir .env ni credenciales.</x:v>
      </x:c>
    </x:row>
    <x:row r="24">
      <x:c r="A24" s="53" t="str">
        <x:v>Zahid</x:v>
      </x:c>
      <x:c r="B24" s="53" t="str">
        <x:v>API</x:v>
      </x:c>
      <x:c r="C24" s="53" t="str">
        <x:v>QA-003</x:v>
      </x:c>
      <x:c r="D24" s="53" t="str">
        <x:v>ci(api): run syntax checks and pytest on pull requests</x:v>
      </x:c>
      <x:c r="E24" s="53" t="str">
        <x:v>.github/workflows/api-ci.yml</x:v>
      </x:c>
      <x:c r="F24" s="53" t="str">
        <x:v>Workflow reproducible sin base de producción.</x:v>
      </x:c>
    </x:row>
    <x:row r="25">
      <x:c r="A25" s="53" t="str">
        <x:v>Jaime</x:v>
      </x:c>
      <x:c r="B25" s="53" t="str">
        <x:v>Web</x:v>
      </x:c>
      <x:c r="C25" s="53" t="str">
        <x:v>DES-001</x:v>
      </x:c>
      <x:c r="D25" s="53" t="str">
        <x:v>design(web): establish clinical design system and responsive layout</x:v>
      </x:c>
      <x:c r="E25" s="53" t="str">
        <x:v>docs/design, CSS global, layout/sidebar</x:v>
      </x:c>
      <x:c r="F25" s="53" t="str">
        <x:v>Adjuntar paleta, tipografía, espaciado y breakpoints.</x:v>
      </x:c>
    </x:row>
    <x:row r="26">
      <x:c r="A26" s="53" t="str">
        <x:v>Jaime</x:v>
      </x:c>
      <x:c r="B26" s="53" t="str">
        <x:v>Web</x:v>
      </x:c>
      <x:c r="C26" s="53" t="str">
        <x:v>DES-002</x:v>
      </x:c>
      <x:c r="D26" s="53" t="str">
        <x:v>design(admin): document patient flow and interface states</x:v>
      </x:c>
      <x:c r="E26" s="53" t="str">
        <x:v>docs/design/pacientes, capturas o mockups</x:v>
      </x:c>
      <x:c r="F26" s="53" t="str">
        <x:v>Incluir vacío, carga, error, coincidencia y confirmación.</x:v>
      </x:c>
    </x:row>
    <x:row r="27">
      <x:c r="A27" s="53" t="str">
        <x:v>Jaime</x:v>
      </x:c>
      <x:c r="B27" s="53" t="str">
        <x:v>Web</x:v>
      </x:c>
      <x:c r="C27" s="53" t="str">
        <x:v>DES-003</x:v>
      </x:c>
      <x:c r="D27" s="53" t="str">
        <x:v>style(web): unify responsive accessible states across modules</x:v>
      </x:c>
      <x:c r="E27" s="53" t="str">
        <x:v>CSS/componentes visuales y checklist</x:v>
      </x:c>
      <x:c r="F27" s="53" t="str">
        <x:v>Verificar contraste, foco y navegación por teclado.</x:v>
      </x:c>
    </x:row>
    <x:row r="28">
      <x:c r="A28" s="53" t="str">
        <x:v>Jaime</x:v>
      </x:c>
      <x:c r="B28" s="53" t="str">
        <x:v>Web</x:v>
      </x:c>
      <x:c r="C28" s="53" t="str">
        <x:v>I18N-001</x:v>
      </x:c>
      <x:c r="D28" s="53" t="str">
        <x:v>style(i18n): verify Spanish and English interface consistency</x:v>
      </x:c>
      <x:c r="E28" s="53" t="str">
        <x:v>locales y componentes con textos residuales</x:v>
      </x:c>
      <x:c r="F28" s="53" t="str">
        <x:v>No mezclar cambios funcionales de backend.</x:v>
      </x:c>
    </x:row>
    <x:row r="29">
      <x:c r="A29" s="53" t="str">
        <x:v>Jaime</x:v>
      </x:c>
      <x:c r="B29" s="53" t="str">
        <x:v>Web</x:v>
      </x:c>
      <x:c r="C29" s="53" t="str">
        <x:v>ENF-010</x:v>
      </x:c>
      <x:c r="D29" s="53" t="str">
        <x:v>design(nursing): add visual alerts for abnormal clinical values</x:v>
      </x:c>
      <x:c r="E29" s="53" t="str">
        <x:v>componentes/estilos de Enfermería</x:v>
      </x:c>
      <x:c r="F29" s="53" t="str">
        <x:v>Basarse en rangos entregados por API.</x:v>
      </x:c>
    </x:row>
    <x:row r="30">
      <x:c r="A30" s="53" t="str">
        <x:v>Jaime</x:v>
      </x:c>
      <x:c r="B30" s="53" t="str">
        <x:v>Web</x:v>
      </x:c>
      <x:c r="C30" s="53" t="str">
        <x:v>SPK-001</x:v>
      </x:c>
      <x:c r="D30" s="53" t="str">
        <x:v>design(spark): polish analytics dashboard responsive states</x:v>
      </x:c>
      <x:c r="E30" s="53" t="str">
        <x:v>pages/spark/Spark.css y componentes</x:v>
      </x:c>
      <x:c r="F30" s="53" t="str">
        <x:v>Después de integrar datos reales.</x:v>
      </x:c>
    </x:row>
    <x:row r="31">
      <x:c r="A31" s="53" t="str">
        <x:v>Jaime</x:v>
      </x:c>
      <x:c r="B31" s="53" t="str">
        <x:v>Web</x:v>
      </x:c>
      <x:c r="C31" s="53" t="str">
        <x:v>VAL-003</x:v>
      </x:c>
      <x:c r="D31" s="53" t="str">
        <x:v>test(design): add responsive accessibility and language checklist</x:v>
      </x:c>
      <x:c r="E31" s="53" t="str">
        <x:v>docs/evidence/design-validation.md</x:v>
      </x:c>
      <x:c r="F31" s="53" t="str">
        <x:v>Commit de evidencia real con capturas y resultados.</x:v>
      </x:c>
    </x:row>
    <x:row r="32">
      <x:c r="A32" s="53" t="str">
        <x:v>Jesús</x:v>
      </x:c>
      <x:c r="B32" s="53" t="str">
        <x:v>Ambos</x:v>
      </x:c>
      <x:c r="C32" s="53" t="str">
        <x:v>MIG-001,MIG-002</x:v>
      </x:c>
      <x:c r="D32" s="53" t="str">
        <x:v>docs: document legacy inventory and target architecture</x:v>
      </x:c>
      <x:c r="E32" s="53" t="str">
        <x:v>docs/architecture y diagramas</x:v>
      </x:c>
      <x:c r="F32" s="53" t="str">
        <x:v>Incluir web, API y MongoDB; sin código generado innecesario.</x:v>
      </x:c>
    </x:row>
    <x:row r="33">
      <x:c r="A33" s="53" t="str">
        <x:v>Jesús</x:v>
      </x:c>
      <x:c r="B33" s="53" t="str">
        <x:v>Ambos</x:v>
      </x:c>
      <x:c r="C33" s="53" t="str">
        <x:v>DOC-001</x:v>
      </x:c>
      <x:c r="D33" s="53" t="str">
        <x:v>docs: replace template readmes with project setup guides</x:v>
      </x:c>
      <x:c r="E33" s="53" t="str">
        <x:v>README.md en ambos repositorios</x:v>
      </x:c>
      <x:c r="F33" s="53" t="str">
        <x:v>Un commit por repositorio.</x:v>
      </x:c>
    </x:row>
    <x:row r="34">
      <x:c r="A34" s="53" t="str">
        <x:v>Jesús</x:v>
      </x:c>
      <x:c r="B34" s="53" t="str">
        <x:v>API</x:v>
      </x:c>
      <x:c r="C34" s="53" t="str">
        <x:v>DOC-002</x:v>
      </x:c>
      <x:c r="D34" s="53" t="str">
        <x:v>docs(api): add endpoint catalog collections and environment guide</x:v>
      </x:c>
      <x:c r="E34" s="53" t="str">
        <x:v>docs/api, docs/database, .env.example explicado</x:v>
      </x:c>
      <x:c r="F34" s="53" t="str">
        <x:v>No incluir secretos ni datos de pacientes.</x:v>
      </x:c>
    </x:row>
    <x:row r="35">
      <x:c r="A35" s="53" t="str">
        <x:v>Jesús</x:v>
      </x:c>
      <x:c r="B35" s="53" t="str">
        <x:v>Web</x:v>
      </x:c>
      <x:c r="C35" s="53" t="str">
        <x:v>DOC-002</x:v>
      </x:c>
      <x:c r="D35" s="53" t="str">
        <x:v>docs(user): add role-based web user manual</x:v>
      </x:c>
      <x:c r="E35" s="53" t="str">
        <x:v>docs/manual-usuario con capturas</x:v>
      </x:c>
      <x:c r="F35" s="53" t="str">
        <x:v>Admin, administrativo, médico, enfermería y estudios.</x:v>
      </x:c>
    </x:row>
    <x:row r="36">
      <x:c r="A36" s="53" t="str">
        <x:v>Jesús</x:v>
      </x:c>
      <x:c r="B36" s="53" t="str">
        <x:v>Ambos</x:v>
      </x:c>
      <x:c r="C36" s="53" t="str">
        <x:v>VAL-001</x:v>
      </x:c>
      <x:c r="D36" s="53" t="str">
        <x:v>docs(qa): record acceptance evidence by role and module</x:v>
      </x:c>
      <x:c r="E36" s="53" t="str">
        <x:v>docs/evidence/acceptance-matrix.md</x:v>
      </x:c>
      <x:c r="F36" s="53" t="str">
        <x:v>Cada caso debe indicar resultado, fecha y evidencia.</x:v>
      </x:c>
    </x:row>
    <x:row r="37">
      <x:c r="A37" s="53" t="str">
        <x:v>Jesús</x:v>
      </x:c>
      <x:c r="B37" s="53" t="str">
        <x:v>Ambos</x:v>
      </x:c>
      <x:c r="C37" s="53" t="str">
        <x:v>DOC-003</x:v>
      </x:c>
      <x:c r="D37" s="53" t="str">
        <x:v>docs(pbl): link stories to commits pull requests and tests</x:v>
      </x:c>
      <x:c r="E37" s="53" t="str">
        <x:v>docs/traceability.md y PBL actualizado</x:v>
      </x:c>
      <x:c r="F37" s="53" t="str">
        <x:v>Usar SHA/URL reales después de hacer commits.</x:v>
      </x:c>
    </x:row>
    <x:row r="38">
      <x:c r="A38" s="53" t="str">
        <x:v>Jesús</x:v>
      </x:c>
      <x:c r="B38" s="53" t="str">
        <x:v>Ambos</x:v>
      </x:c>
      <x:c r="C38" s="53" t="str">
        <x:v>REL-001</x:v>
      </x:c>
      <x:c r="D38" s="53" t="str">
        <x:v>docs(release): add changelog deployment and rollback instructions</x:v>
      </x:c>
      <x:c r="E38" s="53" t="str">
        <x:v>CHANGELOG.md, docs/deployment.md</x:v>
      </x:c>
      <x:c r="F38" s="53" t="str">
        <x:v>Preparar antes de tag final.</x:v>
      </x:c>
    </x:row>
    <x:row r="39">
      <x:c r="A39" s="54" t="str">
        <x:v>Jesús</x:v>
      </x:c>
      <x:c r="B39" s="54" t="str">
        <x:v>Ambos</x:v>
      </x:c>
      <x:c r="C39" s="54" t="str">
        <x:v>DOC-003</x:v>
      </x:c>
      <x:c r="D39" s="54" t="str">
        <x:v>docs: add final project closure report</x:v>
      </x:c>
      <x:c r="E39" s="54" t="str">
        <x:v>docs/project-closure.md</x:v>
      </x:c>
      <x:c r="F39" s="54" t="str">
        <x:v>Resumen de alcance, pendientes aceptados y firmas del equipo.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2ab4659c25234a2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8" hidden="0" customWidth="1"/>
    <x:col min="5" max="5" width="28" hidden="0" customWidth="1"/>
    <x:col min="6" max="6" width="58" hidden="0" customWidth="1"/>
    <x:col min="7" max="7" width="48" hidden="0" customWidth="1"/>
  </x:cols>
  <x:sheetData>
    <x:row r="1" ht="30" customHeight="1">
      <x:c r="A1" s="55" t="str">
        <x:v>COMMITS EXISTENTES EN GITHUB</x:v>
      </x:c>
      <x:c r="B1" s="56"/>
      <x:c r="C1" s="56"/>
      <x:c r="D1" s="56"/>
      <x:c r="E1" s="56"/>
      <x:c r="F1" s="56"/>
      <x:c r="G1" s="56"/>
    </x:row>
    <x:row r="2" ht="32" customHeight="1">
      <x:c r="A2" s="57" t="str">
        <x:v>Historial observado en main. Sirve como evidencia previa; no reemplaza los commits de cierre que aún faltan.</x:v>
      </x:c>
      <x:c r="B2" s="56"/>
      <x:c r="C2" s="56"/>
      <x:c r="D2" s="56"/>
      <x:c r="E2" s="56"/>
      <x:c r="F2" s="56"/>
      <x:c r="G2" s="56"/>
    </x:row>
    <x:row r="3">
      <x:c r="A3" s="56"/>
      <x:c r="B3" s="56"/>
      <x:c r="C3" s="56"/>
      <x:c r="D3" s="56"/>
      <x:c r="E3" s="56"/>
      <x:c r="F3" s="56"/>
      <x:c r="G3" s="56"/>
    </x:row>
    <x:row r="4" ht="32" customHeight="1">
      <x:c r="A4" s="51" t="str">
        <x:v>Repo</x:v>
      </x:c>
      <x:c r="B4" s="51" t="str">
        <x:v>SHA</x:v>
      </x:c>
      <x:c r="C4" s="51" t="str">
        <x:v>Fecha</x:v>
      </x:c>
      <x:c r="D4" s="51" t="str">
        <x:v>Autor registrado</x:v>
      </x:c>
      <x:c r="E4" s="51" t="str">
        <x:v>Correo registrado</x:v>
      </x:c>
      <x:c r="F4" s="51" t="str">
        <x:v>Mensaje</x:v>
      </x:c>
      <x:c r="G4" s="51" t="str">
        <x:v>URL</x:v>
      </x:c>
    </x:row>
    <x:row r="5">
      <x:c r="A5" s="52" t="str">
        <x:v>WEB</x:v>
      </x:c>
      <x:c r="B5" s="52" t="str">
        <x:v>3f30862</x:v>
      </x:c>
      <x:c r="C5" s="52" t="str">
        <x:v>2026-07-30</x:v>
      </x:c>
      <x:c r="D5" s="52" t="str">
        <x:v>JoelLara10</x:v>
      </x:c>
      <x:c r="E5" s="52" t="str">
        <x:v>joel020105@gmail.com</x:v>
      </x:c>
      <x:c r="F5" s="52" t="str">
        <x:v>feat(web): correcion de menus por modulos y formulario de agregar paciente</x:v>
      </x:c>
      <x:c r="G5" s="52" t="str">
        <x:v>https://github.com/JoelLara10/clinica-web-react/commit/3f30862</x:v>
      </x:c>
    </x:row>
    <x:row r="6">
      <x:c r="A6" s="53" t="str">
        <x:v>WEB</x:v>
      </x:c>
      <x:c r="B6" s="53" t="str">
        <x:v>38de99f</x:v>
      </x:c>
      <x:c r="C6" s="53" t="str">
        <x:v>2026-07-27</x:v>
      </x:c>
      <x:c r="D6" s="53" t="str">
        <x:v>JoelLara10</x:v>
      </x:c>
      <x:c r="E6" s="53" t="str">
        <x:v>joel020105@gmail.com</x:v>
      </x:c>
      <x:c r="F6" s="53" t="str">
        <x:v>fix(estudios): correccion de ingles y español</x:v>
      </x:c>
      <x:c r="G6" s="53" t="str">
        <x:v>https://github.com/JoelLara10/clinica-web-react/commit/38de99f</x:v>
      </x:c>
    </x:row>
    <x:row r="7">
      <x:c r="A7" s="53" t="str">
        <x:v>WEB</x:v>
      </x:c>
      <x:c r="B7" s="53" t="str">
        <x:v>af35cf8</x:v>
      </x:c>
      <x:c r="C7" s="53" t="str">
        <x:v>2026-07-27</x:v>
      </x:c>
      <x:c r="D7" s="53" t="str">
        <x:v>JoelLara10</x:v>
      </x:c>
      <x:c r="E7" s="53" t="str">
        <x:v>joel020105@gmail.com</x:v>
      </x:c>
      <x:c r="F7" s="53" t="str">
        <x:v>fix(web): correccion de ingles modulo config y slidebar</x:v>
      </x:c>
      <x:c r="G7" s="53" t="str">
        <x:v>https://github.com/JoelLara10/clinica-web-react/commit/af35cf8</x:v>
      </x:c>
    </x:row>
    <x:row r="8">
      <x:c r="A8" s="53" t="str">
        <x:v>WEB</x:v>
      </x:c>
      <x:c r="B8" s="53" t="str">
        <x:v>ac275f8</x:v>
      </x:c>
      <x:c r="C8" s="53" t="str">
        <x:v>2026-07-27</x:v>
      </x:c>
      <x:c r="D8" s="53" t="str">
        <x:v>JoelLara10</x:v>
      </x:c>
      <x:c r="E8" s="53" t="str">
        <x:v>joel020105@gmail.com</x:v>
      </x:c>
      <x:c r="F8" s="53" t="str">
        <x:v>fix(web): correct configuration forms and restore module functionality</x:v>
      </x:c>
      <x:c r="G8" s="53" t="str">
        <x:v>https://github.com/JoelLara10/clinica-web-react/commit/ac275f8</x:v>
      </x:c>
    </x:row>
    <x:row r="9">
      <x:c r="A9" s="53" t="str">
        <x:v>WEB</x:v>
      </x:c>
      <x:c r="B9" s="53" t="str">
        <x:v>552351c</x:v>
      </x:c>
      <x:c r="C9" s="53" t="str">
        <x:v>2026-07-26</x:v>
      </x:c>
      <x:c r="D9" s="53" t="str">
        <x:v>Jaime Diaz Gonzalez</x:v>
      </x:c>
      <x:c r="E9" s="53" t="str">
        <x:v>al222310433@gmail.com</x:v>
      </x:c>
      <x:c r="F9" s="53" t="str">
        <x:v>feat: traducir vistas del módulo de estudios al inglés</x:v>
      </x:c>
      <x:c r="G9" s="53" t="str">
        <x:v>https://github.com/JoelLara10/clinica-web-react/commit/552351c</x:v>
      </x:c>
    </x:row>
    <x:row r="10">
      <x:c r="A10" s="53" t="str">
        <x:v>WEB</x:v>
      </x:c>
      <x:c r="B10" s="53" t="str">
        <x:v>2df5742</x:v>
      </x:c>
      <x:c r="C10" s="53" t="str">
        <x:v>2026-07-22</x:v>
      </x:c>
      <x:c r="D10" s="53" t="str">
        <x:v>JoelLara10</x:v>
      </x:c>
      <x:c r="E10" s="53" t="str">
        <x:v>joel020105@gmail.com</x:v>
      </x:c>
      <x:c r="F10" s="53" t="str">
        <x:v>feat(web): add English and Spanish language support</x:v>
      </x:c>
      <x:c r="G10" s="53" t="str">
        <x:v>https://github.com/JoelLara10/clinica-web-react/commit/2df5742</x:v>
      </x:c>
    </x:row>
    <x:row r="11">
      <x:c r="A11" s="53" t="str">
        <x:v>WEB</x:v>
      </x:c>
      <x:c r="B11" s="53" t="str">
        <x:v>0dc232c</x:v>
      </x:c>
      <x:c r="C11" s="53" t="str">
        <x:v>2026-07-09</x:v>
      </x:c>
      <x:c r="D11" s="53" t="str">
        <x:v>JoelLara10</x:v>
      </x:c>
      <x:c r="E11" s="53" t="str">
        <x:v>joel020105@gmail.com</x:v>
      </x:c>
      <x:c r="F11" s="53" t="str">
        <x:v>feat(web): correccion AppRouter</x:v>
      </x:c>
      <x:c r="G11" s="53" t="str">
        <x:v>https://github.com/JoelLara10/clinica-web-react/commit/0dc232c</x:v>
      </x:c>
    </x:row>
    <x:row r="12">
      <x:c r="A12" s="53" t="str">
        <x:v>WEB</x:v>
      </x:c>
      <x:c r="B12" s="53" t="str">
        <x:v>376012d</x:v>
      </x:c>
      <x:c r="C12" s="53" t="str">
        <x:v>2026-07-09</x:v>
      </x:c>
      <x:c r="D12" s="53" t="str">
        <x:v>Jesus Alejandro Diaz Serafin</x:v>
      </x:c>
      <x:c r="E12" s="53" t="str">
        <x:v>al222310336@gmail.com</x:v>
      </x:c>
      <x:c r="F12" s="53" t="str">
        <x:v>Actualiza módulo de configuración</x:v>
      </x:c>
      <x:c r="G12" s="53" t="str">
        <x:v>https://github.com/JoelLara10/clinica-web-react/commit/376012d</x:v>
      </x:c>
    </x:row>
    <x:row r="13">
      <x:c r="A13" s="53" t="str">
        <x:v>WEB</x:v>
      </x:c>
      <x:c r="B13" s="53" t="str">
        <x:v>277a12e</x:v>
      </x:c>
      <x:c r="C13" s="53" t="str">
        <x:v>2026-07-09</x:v>
      </x:c>
      <x:c r="D13" s="53" t="str">
        <x:v>JoelLara10</x:v>
      </x:c>
      <x:c r="E13" s="53" t="str">
        <x:v>joel020105@gmail.com</x:v>
      </x:c>
      <x:c r="F13" s="53" t="str">
        <x:v>feat(web): add nursing forms and optimize medical module</x:v>
      </x:c>
      <x:c r="G13" s="53" t="str">
        <x:v>https://github.com/JoelLara10/clinica-web-react/commit/277a12e</x:v>
      </x:c>
    </x:row>
    <x:row r="14">
      <x:c r="A14" s="53" t="str">
        <x:v>WEB</x:v>
      </x:c>
      <x:c r="B14" s="53" t="str">
        <x:v>de2e806</x:v>
      </x:c>
      <x:c r="C14" s="53" t="str">
        <x:v>2026-07-08</x:v>
      </x:c>
      <x:c r="D14" s="53" t="str">
        <x:v>Jesus Alejandro Diaz Serafin</x:v>
      </x:c>
      <x:c r="E14" s="53" t="str">
        <x:v>al222310336@gmail.com</x:v>
      </x:c>
      <x:c r="F14" s="53" t="str">
        <x:v>Actualiza módulo de configuración React</x:v>
      </x:c>
      <x:c r="G14" s="53" t="str">
        <x:v>https://github.com/JoelLara10/clinica-web-react/commit/de2e806</x:v>
      </x:c>
    </x:row>
    <x:row r="15">
      <x:c r="A15" s="53" t="str">
        <x:v>WEB</x:v>
      </x:c>
      <x:c r="B15" s="53" t="str">
        <x:v>ecf4d32</x:v>
      </x:c>
      <x:c r="C15" s="53" t="str">
        <x:v>2026-07-08</x:v>
      </x:c>
      <x:c r="D15" s="53" t="str">
        <x:v>Jaime Diaz Gonzalez</x:v>
      </x:c>
      <x:c r="E15" s="53" t="str">
        <x:v>al222310433@gmail.com</x:v>
      </x:c>
      <x:c r="F15" s="53" t="str">
        <x:v>feat: agregar módulo funcional de estudios</x:v>
      </x:c>
      <x:c r="G15" s="53" t="str">
        <x:v>https://github.com/JoelLara10/clinica-web-react/commit/ecf4d32</x:v>
      </x:c>
    </x:row>
    <x:row r="16">
      <x:c r="A16" s="53" t="str">
        <x:v>WEB</x:v>
      </x:c>
      <x:c r="B16" s="53" t="str">
        <x:v>2a9037a</x:v>
      </x:c>
      <x:c r="C16" s="53" t="str">
        <x:v>2026-06-28</x:v>
      </x:c>
      <x:c r="D16" s="53" t="str">
        <x:v>JoelLara10</x:v>
      </x:c>
      <x:c r="E16" s="53" t="str">
        <x:v>joel020105@gmail.com</x:v>
      </x:c>
      <x:c r="F16" s="53" t="str">
        <x:v>feat(web): implement nursing and medical modules and migrate screens to JSX</x:v>
      </x:c>
      <x:c r="G16" s="53" t="str">
        <x:v>https://github.com/JoelLara10/clinica-web-react/commit/2a9037a</x:v>
      </x:c>
    </x:row>
    <x:row r="17">
      <x:c r="A17" s="53" t="str">
        <x:v>WEB</x:v>
      </x:c>
      <x:c r="B17" s="53" t="str">
        <x:v>b1d1bb0</x:v>
      </x:c>
      <x:c r="C17" s="53" t="str">
        <x:v>2026-06-27</x:v>
      </x:c>
      <x:c r="D17" s="53" t="str">
        <x:v>JoelLara10</x:v>
      </x:c>
      <x:c r="E17" s="53" t="str">
        <x:v>joel020105@gmail.com</x:v>
      </x:c>
      <x:c r="F17" s="53" t="str">
        <x:v>feat: initial web project structureAPI|77d5e6d|2026-08-08|JoelLara10|83302327+JoelLara10@users.noreply.github.com|Delete .env</x:v>
      </x:c>
      <x:c r="G17" s="53" t="str">
        <x:v>https://github.com/JoelLara10/clinica-web-react/commit/b1d1bb0</x:v>
      </x:c>
    </x:row>
    <x:row r="18">
      <x:c r="A18" s="53" t="str">
        <x:v>API</x:v>
      </x:c>
      <x:c r="B18" s="53" t="str">
        <x:v>2da1555</x:v>
      </x:c>
      <x:c r="C18" s="53" t="str">
        <x:v>2026-07-29</x:v>
      </x:c>
      <x:c r="D18" s="53" t="str">
        <x:v>JoelLara10</x:v>
      </x:c>
      <x:c r="E18" s="53" t="str">
        <x:v>joel020105@gmail.com</x:v>
      </x:c>
      <x:c r="F18" s="53" t="str">
        <x:v>fix(admin): improve pagination, cache and PDF generation</x:v>
      </x:c>
      <x:c r="G18" s="53" t="str">
        <x:v>https://github.com/jaimediaz25/api_hospital/commit/2da1555</x:v>
      </x:c>
    </x:row>
    <x:row r="19">
      <x:c r="A19" s="53" t="str">
        <x:v>API</x:v>
      </x:c>
      <x:c r="B19" s="53" t="str">
        <x:v>35fd704</x:v>
      </x:c>
      <x:c r="C19" s="53" t="str">
        <x:v>2026-07-27</x:v>
      </x:c>
      <x:c r="D19" s="53" t="str">
        <x:v>JoelLara10</x:v>
      </x:c>
      <x:c r="E19" s="53" t="str">
        <x:v>joel020105@gmail.com</x:v>
      </x:c>
      <x:c r="F19" s="53" t="str">
        <x:v>feat(config): improve backups, catalogs and database services</x:v>
      </x:c>
      <x:c r="G19" s="53" t="str">
        <x:v>https://github.com/jaimediaz25/api_hospital/commit/35fd704</x:v>
      </x:c>
    </x:row>
    <x:row r="20">
      <x:c r="A20" s="53" t="str">
        <x:v>API</x:v>
      </x:c>
      <x:c r="B20" s="53" t="str">
        <x:v>6624d2c</x:v>
      </x:c>
      <x:c r="C20" s="53" t="str">
        <x:v>2026-07-08</x:v>
      </x:c>
      <x:c r="D20" s="53" t="str">
        <x:v>Jesus Alejandro Diaz Serafin</x:v>
      </x:c>
      <x:c r="E20" s="53" t="str">
        <x:v>al222310336@gmail.com</x:v>
      </x:c>
      <x:c r="F20" s="53" t="str">
        <x:v>Merge branch 'main' of https://github.com/jaimediaz25/api_hospital</x:v>
      </x:c>
      <x:c r="G20" s="53" t="str">
        <x:v>https://github.com/jaimediaz25/api_hospital/commit/6624d2c</x:v>
      </x:c>
    </x:row>
    <x:row r="21">
      <x:c r="A21" s="53" t="str">
        <x:v>API</x:v>
      </x:c>
      <x:c r="B21" s="53" t="str">
        <x:v>265212b</x:v>
      </x:c>
      <x:c r="C21" s="53" t="str">
        <x:v>2026-07-08</x:v>
      </x:c>
      <x:c r="D21" s="53" t="str">
        <x:v>Jesus Alejandro Diaz Serafin</x:v>
      </x:c>
      <x:c r="E21" s="53" t="str">
        <x:v>al222310336@gmail.com</x:v>
      </x:c>
      <x:c r="F21" s="53" t="str">
        <x:v>Actualiza módulo de configuración y endpoints de camas y usuarios</x:v>
      </x:c>
      <x:c r="G21" s="53" t="str">
        <x:v>https://github.com/jaimediaz25/api_hospital/commit/265212b</x:v>
      </x:c>
    </x:row>
    <x:row r="22">
      <x:c r="A22" s="53" t="str">
        <x:v>API</x:v>
      </x:c>
      <x:c r="B22" s="53" t="str">
        <x:v>767b3ad</x:v>
      </x:c>
      <x:c r="C22" s="53" t="str">
        <x:v>2026-07-08</x:v>
      </x:c>
      <x:c r="D22" s="53" t="str">
        <x:v>Jaime Diaz Gonzalez</x:v>
      </x:c>
      <x:c r="E22" s="53" t="str">
        <x:v>al222310433@gmail.com</x:v>
      </x:c>
      <x:c r="F22" s="53" t="str">
        <x:v>refactor: optimizar función en módulo de estudios</x:v>
      </x:c>
      <x:c r="G22" s="53" t="str">
        <x:v>https://github.com/jaimediaz25/api_hospital/commit/767b3ad</x:v>
      </x:c>
    </x:row>
    <x:row r="23">
      <x:c r="A23" s="53" t="str">
        <x:v>API</x:v>
      </x:c>
      <x:c r="B23" s="53" t="str">
        <x:v>471b219</x:v>
      </x:c>
      <x:c r="C23" s="53" t="str">
        <x:v>2026-07-07</x:v>
      </x:c>
      <x:c r="D23" s="53" t="str">
        <x:v>Zahid Galicia</x:v>
      </x:c>
      <x:c r="E23" s="53" t="str">
        <x:v>marcegb567@gmail.com</x:v>
      </x:c>
      <x:c r="F23" s="53" t="str">
        <x:v>Paginacion modulo acministrativo</x:v>
      </x:c>
      <x:c r="G23" s="53" t="str">
        <x:v>https://github.com/jaimediaz25/api_hospital/commit/471b219</x:v>
      </x:c>
    </x:row>
    <x:row r="24">
      <x:c r="A24" s="53" t="str">
        <x:v>API</x:v>
      </x:c>
      <x:c r="B24" s="53" t="str">
        <x:v>4d1974b</x:v>
      </x:c>
      <x:c r="C24" s="53" t="str">
        <x:v>2026-07-07</x:v>
      </x:c>
      <x:c r="D24" s="53" t="str">
        <x:v>JoelLara10</x:v>
      </x:c>
      <x:c r="E24" s="53" t="str">
        <x:v>joel020105@gmail.com</x:v>
      </x:c>
      <x:c r="F24" s="53" t="str">
        <x:v>feat(api): add nursing forms, PDF generation and remove Python cache files</x:v>
      </x:c>
      <x:c r="G24" s="53" t="str">
        <x:v>https://github.com/jaimediaz25/api_hospital/commit/4d1974b</x:v>
      </x:c>
    </x:row>
    <x:row r="25">
      <x:c r="A25" s="53" t="str">
        <x:v>API</x:v>
      </x:c>
      <x:c r="B25" s="53" t="str">
        <x:v>ab18d75</x:v>
      </x:c>
      <x:c r="C25" s="53" t="str">
        <x:v>2026-07-07</x:v>
      </x:c>
      <x:c r="D25" s="53" t="str">
        <x:v>JoelLara10</x:v>
      </x:c>
      <x:c r="E25" s="53" t="str">
        <x:v>joel020105@gmail.com</x:v>
      </x:c>
      <x:c r="F25" s="53" t="str">
        <x:v>feat(api): add nursing forms and PDF generation endpoints</x:v>
      </x:c>
      <x:c r="G25" s="53" t="str">
        <x:v>https://github.com/jaimediaz25/api_hospital/commit/ab18d75</x:v>
      </x:c>
    </x:row>
    <x:row r="26">
      <x:c r="A26" s="53" t="str">
        <x:v>API</x:v>
      </x:c>
      <x:c r="B26" s="53" t="str">
        <x:v>28efe7e</x:v>
      </x:c>
      <x:c r="C26" s="53" t="str">
        <x:v>2026-06-27</x:v>
      </x:c>
      <x:c r="D26" s="53" t="str">
        <x:v>JoelLara10</x:v>
      </x:c>
      <x:c r="E26" s="53" t="str">
        <x:v>joel020105@gmail.com</x:v>
      </x:c>
      <x:c r="F26" s="53" t="str">
        <x:v>chore(api): update CORS origins and pagination settings</x:v>
      </x:c>
      <x:c r="G26" s="53" t="str">
        <x:v>https://github.com/jaimediaz25/api_hospital/commit/28efe7e</x:v>
      </x:c>
    </x:row>
    <x:row r="27">
      <x:c r="A27" s="53" t="str">
        <x:v>API</x:v>
      </x:c>
      <x:c r="B27" s="53" t="str">
        <x:v>1c769bf</x:v>
      </x:c>
      <x:c r="C27" s="53" t="str">
        <x:v>2026-06-27</x:v>
      </x:c>
      <x:c r="D27" s="53" t="str">
        <x:v>JoelLara10</x:v>
      </x:c>
      <x:c r="E27" s="53" t="str">
        <x:v>joel020105@gmail.com</x:v>
      </x:c>
      <x:c r="F27" s="53" t="str">
        <x:v>chore: remove __pycache__ files from repository</x:v>
      </x:c>
      <x:c r="G27" s="53" t="str">
        <x:v>https://github.com/jaimediaz25/api_hospital/commit/1c769bf</x:v>
      </x:c>
    </x:row>
    <x:row r="28">
      <x:c r="A28" s="53" t="str">
        <x:v>API</x:v>
      </x:c>
      <x:c r="B28" s="53" t="str">
        <x:v>40c09e0</x:v>
      </x:c>
      <x:c r="C28" s="53" t="str">
        <x:v>2026-06-27</x:v>
      </x:c>
      <x:c r="D28" s="53" t="str">
        <x:v>JoelLara10</x:v>
      </x:c>
      <x:c r="E28" s="53" t="str">
        <x:v>joel020105@gmail.com</x:v>
      </x:c>
      <x:c r="F28" s="53" t="str">
        <x:v>chore: agregar .gitignore para excluir archivos temporales de Python</x:v>
      </x:c>
      <x:c r="G28" s="53" t="str">
        <x:v>https://github.com/jaimediaz25/api_hospital/commit/40c09e0</x:v>
      </x:c>
    </x:row>
    <x:row r="29">
      <x:c r="A29" s="53" t="str">
        <x:v>API</x:v>
      </x:c>
      <x:c r="B29" s="53" t="str">
        <x:v>44f76fc</x:v>
      </x:c>
      <x:c r="C29" s="53" t="str">
        <x:v>2026-06-27</x:v>
      </x:c>
      <x:c r="D29" s="53" t="str">
        <x:v>JoelLara10</x:v>
      </x:c>
      <x:c r="E29" s="53" t="str">
        <x:v>joel020105@gmail.com</x:v>
      </x:c>
      <x:c r="F29" s="53" t="str">
        <x:v>feat(api): agregar funcionalidades de enfermería en módulo enfermeria</x:v>
      </x:c>
      <x:c r="G29" s="53" t="str">
        <x:v>https://github.com/jaimediaz25/api_hospital/commit/44f76fc</x:v>
      </x:c>
    </x:row>
    <x:row r="30">
      <x:c r="A30" s="53" t="str">
        <x:v>API</x:v>
      </x:c>
      <x:c r="B30" s="53" t="str">
        <x:v>b2b46cc</x:v>
      </x:c>
      <x:c r="C30" s="53" t="str">
        <x:v>2026-06-26</x:v>
      </x:c>
      <x:c r="D30" s="53" t="str">
        <x:v>JoelLara10</x:v>
      </x:c>
      <x:c r="E30" s="53" t="str">
        <x:v>joel020105@gmail.com</x:v>
      </x:c>
      <x:c r="F30" s="53" t="str">
        <x:v>fix(config): permitir ejecución local en API (localhost y ajustes de IP)</x:v>
      </x:c>
      <x:c r="G30" s="53" t="str">
        <x:v>https://github.com/jaimediaz25/api_hospital/commit/b2b46cc</x:v>
      </x:c>
    </x:row>
    <x:row r="31">
      <x:c r="A31" s="53" t="str">
        <x:v>API</x:v>
      </x:c>
      <x:c r="B31" s="53" t="str">
        <x:v>8ba5c6c</x:v>
      </x:c>
      <x:c r="C31" s="53" t="str">
        <x:v>2026-06-26</x:v>
      </x:c>
      <x:c r="D31" s="53" t="str">
        <x:v>JoelLara10</x:v>
      </x:c>
      <x:c r="E31" s="53" t="str">
        <x:v>joel020105@gmail.com</x:v>
      </x:c>
      <x:c r="F31" s="53" t="str">
        <x:v>Merge branch 'main' of https://github.com/jaimediaz25/api_hospital</x:v>
      </x:c>
      <x:c r="G31" s="53" t="str">
        <x:v>https://github.com/jaimediaz25/api_hospital/commit/8ba5c6c</x:v>
      </x:c>
    </x:row>
    <x:row r="32">
      <x:c r="A32" s="53" t="str">
        <x:v>API</x:v>
      </x:c>
      <x:c r="B32" s="53" t="str">
        <x:v>ba9a903</x:v>
      </x:c>
      <x:c r="C32" s="53" t="str">
        <x:v>2026-06-26</x:v>
      </x:c>
      <x:c r="D32" s="53" t="str">
        <x:v>Jesus Alejandro Diaz Serafin</x:v>
      </x:c>
      <x:c r="E32" s="53" t="str">
        <x:v>al222310336@gmail.com</x:v>
      </x:c>
      <x:c r="F32" s="53" t="str">
        <x:v>feat: agregar gestion de usuarios para configuracion</x:v>
      </x:c>
      <x:c r="G32" s="53" t="str">
        <x:v>https://github.com/jaimediaz25/api_hospital/commit/ba9a903</x:v>
      </x:c>
    </x:row>
    <x:row r="33">
      <x:c r="A33" s="53" t="str">
        <x:v>API</x:v>
      </x:c>
      <x:c r="B33" s="53" t="str">
        <x:v>4cf8331</x:v>
      </x:c>
      <x:c r="C33" s="53" t="str">
        <x:v>2026-06-25</x:v>
      </x:c>
      <x:c r="D33" s="53" t="str">
        <x:v>JoelLara10</x:v>
      </x:c>
      <x:c r="E33" s="53" t="str">
        <x:v>joel020105@gmail.com</x:v>
      </x:c>
      <x:c r="F33" s="53" t="str">
        <x:v>gitignore</x:v>
      </x:c>
      <x:c r="G33" s="53" t="str">
        <x:v>https://github.com/jaimediaz25/api_hospital/commit/4cf8331</x:v>
      </x:c>
    </x:row>
    <x:row r="34">
      <x:c r="A34" s="53" t="str">
        <x:v>API</x:v>
      </x:c>
      <x:c r="B34" s="53" t="str">
        <x:v>7978990</x:v>
      </x:c>
      <x:c r="C34" s="53" t="str">
        <x:v>2026-06-25</x:v>
      </x:c>
      <x:c r="D34" s="53" t="str">
        <x:v>JoelLara10</x:v>
      </x:c>
      <x:c r="E34" s="53" t="str">
        <x:v>joel020105@gmail.com</x:v>
      </x:c>
      <x:c r="F34" s="53" t="str">
        <x:v>Remove venv from repository and ignore it</x:v>
      </x:c>
      <x:c r="G34" s="53" t="str">
        <x:v>https://github.com/jaimediaz25/api_hospital/commit/7978990</x:v>
      </x:c>
    </x:row>
    <x:row r="35">
      <x:c r="A35" s="53" t="str">
        <x:v>API</x:v>
      </x:c>
      <x:c r="B35" s="53" t="str">
        <x:v>b567e1a</x:v>
      </x:c>
      <x:c r="C35" s="53" t="str">
        <x:v>2026-06-18</x:v>
      </x:c>
      <x:c r="D35" s="53" t="str">
        <x:v>zahidgx</x:v>
      </x:c>
      <x:c r="E35" s="53" t="str">
        <x:v>zahidgx</x:v>
      </x:c>
      <x:c r="F35" s="53" t="str">
        <x:v>Modulo administrativo API</x:v>
      </x:c>
      <x:c r="G35" s="53" t="str">
        <x:v>https://github.com/jaimediaz25/api_hospital/commit/b567e1a</x:v>
      </x:c>
    </x:row>
    <x:row r="36">
      <x:c r="A36" s="53" t="str">
        <x:v>API</x:v>
      </x:c>
      <x:c r="B36" s="53" t="str">
        <x:v>09eaea2</x:v>
      </x:c>
      <x:c r="C36" s="53" t="str">
        <x:v>2026-06-17</x:v>
      </x:c>
      <x:c r="D36" s="53" t="str">
        <x:v>Jaime Díaz</x:v>
      </x:c>
      <x:c r="E36" s="53" t="str">
        <x:v>al222310433@gmail.com</x:v>
      </x:c>
      <x:c r="F36" s="53" t="str">
        <x:v>Rutas y Funciones de Estudios completas</x:v>
      </x:c>
      <x:c r="G36" s="53" t="str">
        <x:v>https://github.com/jaimediaz25/api_hospital/commit/09eaea2</x:v>
      </x:c>
    </x:row>
    <x:row r="37">
      <x:c r="A37" s="54" t="str">
        <x:v>API</x:v>
      </x:c>
      <x:c r="B37" s="54" t="str">
        <x:v>67e9156</x:v>
      </x:c>
      <x:c r="C37" s="54" t="str">
        <x:v>2026-06-17</x:v>
      </x:c>
      <x:c r="D37" s="54" t="str">
        <x:v>Jaime Díaz</x:v>
      </x:c>
      <x:c r="E37" s="54" t="str">
        <x:v>al222310433@gmail.com</x:v>
      </x:c>
      <x:c r="F37" s="54" t="str">
        <x:v>Primer commit</x:v>
      </x:c>
      <x:c r="G37" s="54" t="str">
        <x:v>https://github.com/jaimediaz25/api_hospital/commit/67e9156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5a08df5fd1c448a4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42" hidden="0" customWidth="1"/>
    <x:col min="5" max="5" width="42" hidden="0" customWidth="1"/>
    <x:col min="6" max="6" width="18" hidden="0" customWidth="1"/>
    <x:col min="7" max="7" width="18" hidden="0" customWidth="1"/>
  </x:cols>
  <x:sheetData>
    <x:row r="1" ht="30" customHeight="1">
      <x:c r="A1" s="55" t="str">
        <x:v>HALLAZGOS DE AUDITORÍA</x:v>
      </x:c>
      <x:c r="B1" s="56"/>
      <x:c r="C1" s="56"/>
      <x:c r="D1" s="56"/>
      <x:c r="E1" s="56"/>
      <x:c r="F1" s="56"/>
      <x:c r="G1" s="56"/>
    </x:row>
    <x:row r="2" ht="32" customHeight="1">
      <x:c r="A2" s="57" t="str">
        <x:v>Resultado de verificaciones reproducibles sobre el contenido actual de main.</x:v>
      </x:c>
      <x:c r="B2" s="56"/>
      <x:c r="C2" s="56"/>
      <x:c r="D2" s="56"/>
      <x:c r="E2" s="56"/>
      <x:c r="F2" s="56"/>
      <x:c r="G2" s="56"/>
    </x:row>
    <x:row r="3">
      <x:c r="A3" s="56"/>
      <x:c r="B3" s="56"/>
      <x:c r="C3" s="56"/>
      <x:c r="D3" s="56"/>
      <x:c r="E3" s="56"/>
      <x:c r="F3" s="56"/>
      <x:c r="G3" s="56"/>
    </x:row>
    <x:row r="4" ht="32" customHeight="1">
      <x:c r="A4" s="51" t="str">
        <x:v>Severidad</x:v>
      </x:c>
      <x:c r="B4" s="51" t="str">
        <x:v>Repositorio</x:v>
      </x:c>
      <x:c r="C4" s="51" t="str">
        <x:v>Hallazgo</x:v>
      </x:c>
      <x:c r="D4" s="51" t="str">
        <x:v>Evidencia</x:v>
      </x:c>
      <x:c r="E4" s="51" t="str">
        <x:v>Acción</x:v>
      </x:c>
      <x:c r="F4" s="51" t="str">
        <x:v>Responsable</x:v>
      </x:c>
      <x:c r="G4" s="51" t="str">
        <x:v>PBL</x:v>
      </x:c>
    </x:row>
    <x:row r="5">
      <x:c r="A5" s="52" t="str">
        <x:v>OK</x:v>
      </x:c>
      <x:c r="B5" s="52" t="str">
        <x:v>Web</x:v>
      </x:c>
      <x:c r="C5" s="52" t="str">
        <x:v>Compilación de producción exitosa.</x:v>
      </x:c>
      <x:c r="D5" s="52" t="str">
        <x:v>npm run build; 167 módulos transformados.</x:v>
      </x:c>
      <x:c r="E5" s="52" t="str">
        <x:v>Conservar como verificación de CI.</x:v>
      </x:c>
      <x:c r="F5" s="52" t="str">
        <x:v>Joel</x:v>
      </x:c>
      <x:c r="G5" s="52" t="str">
        <x:v>QA-003</x:v>
      </x:c>
    </x:row>
    <x:row r="6">
      <x:c r="A6" s="53" t="str">
        <x:v>Media</x:v>
      </x:c>
      <x:c r="B6" s="53" t="str">
        <x:v>Web</x:v>
      </x:c>
      <x:c r="C6" s="53" t="str">
        <x:v>Bundle principal grande.</x:v>
      </x:c>
      <x:c r="D6" s="53" t="str">
        <x:v>JS minificado 878.38 kB; Vite advierte &gt;500 kB.</x:v>
      </x:c>
      <x:c r="E6" s="53" t="str">
        <x:v>Aplicar lazy loading/code splitting.</x:v>
      </x:c>
      <x:c r="F6" s="53" t="str">
        <x:v>Joel</x:v>
      </x:c>
      <x:c r="G6" s="53" t="str">
        <x:v>QA-004</x:v>
      </x:c>
    </x:row>
    <x:row r="7">
      <x:c r="A7" s="53" t="str">
        <x:v>Media</x:v>
      </x:c>
      <x:c r="B7" s="53" t="str">
        <x:v>Web</x:v>
      </x:c>
      <x:c r="C7" s="53" t="str">
        <x:v>Lint concluye con advertencias.</x:v>
      </x:c>
      <x:c r="D7" s="53" t="str">
        <x:v>Hooks, imports/variables sin uso y Fast Refresh.</x:v>
      </x:c>
      <x:c r="E7" s="53" t="str">
        <x:v>Corregir y dejar lint limpio.</x:v>
      </x:c>
      <x:c r="F7" s="53" t="str">
        <x:v>Joel</x:v>
      </x:c>
      <x:c r="G7" s="53" t="str">
        <x:v>QA-004</x:v>
      </x:c>
    </x:row>
    <x:row r="8">
      <x:c r="A8" s="53" t="str">
        <x:v>Alta</x:v>
      </x:c>
      <x:c r="B8" s="53" t="str">
        <x:v>Ambos</x:v>
      </x:c>
      <x:c r="C8" s="53" t="str">
        <x:v>No hay pruebas automatizadas.</x:v>
      </x:c>
      <x:c r="D8" s="53" t="str">
        <x:v>Sin Vitest/Playwright en package.json; sin pytest.</x:v>
      </x:c>
      <x:c r="E8" s="53" t="str">
        <x:v>Agregar suites web y API.</x:v>
      </x:c>
      <x:c r="F8" s="53" t="str">
        <x:v>Joel / Zahid</x:v>
      </x:c>
      <x:c r="G8" s="53" t="str">
        <x:v>QA-001,QA-002</x:v>
      </x:c>
    </x:row>
    <x:row r="9">
      <x:c r="A9" s="53" t="str">
        <x:v>Alta</x:v>
      </x:c>
      <x:c r="B9" s="53" t="str">
        <x:v>Ambos</x:v>
      </x:c>
      <x:c r="C9" s="53" t="str">
        <x:v>No hay GitHub Actions.</x:v>
      </x:c>
      <x:c r="D9" s="53" t="str">
        <x:v>No existe .github/workflows.</x:v>
      </x:c>
      <x:c r="E9" s="53" t="str">
        <x:v>Crear CI en ambos repositorios.</x:v>
      </x:c>
      <x:c r="F9" s="53" t="str">
        <x:v>Joel / Zahid</x:v>
      </x:c>
      <x:c r="G9" s="53" t="str">
        <x:v>QA-003</x:v>
      </x:c>
    </x:row>
    <x:row r="10">
      <x:c r="A10" s="53" t="str">
        <x:v>Alta</x:v>
      </x:c>
      <x:c r="B10" s="53" t="str">
        <x:v>API</x:v>
      </x:c>
      <x:c r="C10" s="53" t="str">
        <x:v>Existe secreto JWT inseguro por defecto.</x:v>
      </x:c>
      <x:c r="D10" s="53" t="str">
        <x:v>SECRET_KEY usa tu-clave-secreta si falta variable.</x:v>
      </x:c>
      <x:c r="E10" s="53" t="str">
        <x:v>Hacer variable obligatoria y rotar secretos reales.</x:v>
      </x:c>
      <x:c r="F10" s="53" t="str">
        <x:v>Zahid</x:v>
      </x:c>
      <x:c r="G10" s="53" t="str">
        <x:v>SEC-001</x:v>
      </x:c>
    </x:row>
    <x:row r="11">
      <x:c r="A11" s="53" t="str">
        <x:v>Alta</x:v>
      </x:c>
      <x:c r="B11" s="53" t="str">
        <x:v>Spark</x:v>
      </x:c>
      <x:c r="C11" s="53" t="str">
        <x:v>Frontend sin rutas y API sin blueprint Spark.</x:v>
      </x:c>
      <x:c r="D11" s="53" t="str">
        <x:v>pages/spark existe; AppRouter no las importa; app.py no registra Spark.</x:v>
      </x:c>
      <x:c r="E11" s="53" t="str">
        <x:v>Integrar o retirar del alcance final.</x:v>
      </x:c>
      <x:c r="F11" s="53" t="str">
        <x:v>Joel / Zahid</x:v>
      </x:c>
      <x:c r="G11" s="53" t="str">
        <x:v>SPK-001,SPK-002</x:v>
      </x:c>
    </x:row>
    <x:row r="12">
      <x:c r="A12" s="53" t="str">
        <x:v>Media</x:v>
      </x:c>
      <x:c r="B12" s="53" t="str">
        <x:v>Web</x:v>
      </x:c>
      <x:c r="C12" s="53" t="str">
        <x:v>README genérico de Vite.</x:v>
      </x:c>
      <x:c r="D12" s="53" t="str">
        <x:v>README no documenta INEO.</x:v>
      </x:c>
      <x:c r="E12" s="53" t="str">
        <x:v>Crear guía real de instalación y uso.</x:v>
      </x:c>
      <x:c r="F12" s="53" t="str">
        <x:v>Jesús</x:v>
      </x:c>
      <x:c r="G12" s="53" t="str">
        <x:v>DOC-001</x:v>
      </x:c>
    </x:row>
    <x:row r="13">
      <x:c r="A13" s="53" t="str">
        <x:v>Media</x:v>
      </x:c>
      <x:c r="B13" s="53" t="str">
        <x:v>Enfermería</x:v>
      </x:c>
      <x:c r="C13" s="53" t="str">
        <x:v>Medicamentos son captura libre, no administración de prescripción.</x:v>
      </x:c>
      <x:c r="D13" s="53" t="str">
        <x:v>Formulario crea nombre/dosis/vía directamente.</x:v>
      </x:c>
      <x:c r="E13" s="53" t="str">
        <x:v>Vincular indicaciones y controlar duplicidad.</x:v>
      </x:c>
      <x:c r="F13" s="53" t="str">
        <x:v>Joel / Zahid</x:v>
      </x:c>
      <x:c r="G13" s="53" t="str">
        <x:v>ENF-011</x:v>
      </x:c>
    </x:row>
    <x:row r="14">
      <x:c r="A14" s="53" t="str">
        <x:v>Media</x:v>
      </x:c>
      <x:c r="B14" s="53" t="str">
        <x:v>Enfermería</x:v>
      </x:c>
      <x:c r="C14" s="53" t="str">
        <x:v>No hay hoja consolidada por turno.</x:v>
      </x:c>
      <x:c r="D14" s="53" t="str">
        <x:v>Registros y PDFs separados.</x:v>
      </x:c>
      <x:c r="E14" s="53" t="str">
        <x:v>Crear reporte consolidado.</x:v>
      </x:c>
      <x:c r="F14" s="53" t="str">
        <x:v>Joel / Zahid</x:v>
      </x:c>
      <x:c r="G14" s="53" t="str">
        <x:v>ENF-012</x:v>
      </x:c>
    </x:row>
    <x:row r="15">
      <x:c r="A15" s="54" t="str">
        <x:v>Baja</x:v>
      </x:c>
      <x:c r="B15" s="54" t="str">
        <x:v>API</x:v>
      </x:c>
      <x:c r="C15" s="54" t="str">
        <x:v>routes/studies.py declara /counts dos veces.</x:v>
      </x:c>
      <x:c r="D15" s="54" t="str">
        <x:v>Decoradores repetidos en el mismo blueprint.</x:v>
      </x:c>
      <x:c r="E15" s="54" t="str">
        <x:v>Eliminar duplicidad y probar ruta.</x:v>
      </x:c>
      <x:c r="F15" s="54" t="str">
        <x:v>Zahid</x:v>
      </x:c>
      <x:c r="G15" s="54" t="str">
        <x:v>EST-001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4df1403893140b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55" hidden="0" customWidth="1"/>
    <x:col min="3" max="3" width="20" hidden="0" customWidth="1"/>
    <x:col min="4" max="4" width="44" hidden="0" customWidth="1"/>
  </x:cols>
  <x:sheetData>
    <x:row r="1" ht="30" customHeight="1">
      <x:c r="A1" s="55" t="str">
        <x:v>DEFINICIÓN DE TERMINADO Y REGLAS DE GIT</x:v>
      </x:c>
      <x:c r="B1" s="56"/>
      <x:c r="C1" s="56"/>
      <x:c r="D1" s="56"/>
    </x:row>
    <x:row r="2" ht="32" customHeight="1">
      <x:c r="A2" s="57" t="str">
        <x:v>Una historia solo puede marcarse Terminado cuando cumple todos los puntos aplicables.</x:v>
      </x:c>
      <x:c r="B2" s="56"/>
      <x:c r="C2" s="56"/>
      <x:c r="D2" s="56"/>
    </x:row>
    <x:row r="3">
      <x:c r="A3" s="56"/>
      <x:c r="B3" s="56"/>
      <x:c r="C3" s="56"/>
      <x:c r="D3" s="56"/>
    </x:row>
    <x:row r="4" ht="32" customHeight="1">
      <x:c r="A4" s="51" t="str">
        <x:v>N.º</x:v>
      </x:c>
      <x:c r="B4" s="51" t="str">
        <x:v>Criterio</x:v>
      </x:c>
      <x:c r="C4" s="51" t="str">
        <x:v>Aplica a</x:v>
      </x:c>
      <x:c r="D4" s="51" t="str">
        <x:v>Evidencia requerida</x:v>
      </x:c>
    </x:row>
    <x:row r="5">
      <x:c r="A5" s="52" t="n">
        <x:v>1</x:v>
      </x:c>
      <x:c r="B5" s="52" t="str">
        <x:v>Código o documento revisado y guardado en el repositorio correcto.</x:v>
      </x:c>
      <x:c r="C5" s="52" t="str">
        <x:v>Todos</x:v>
      </x:c>
      <x:c r="D5" s="52" t="str">
        <x:v>SHA o PR real.</x:v>
      </x:c>
    </x:row>
    <x:row r="6">
      <x:c r="A6" s="53" t="n">
        <x:v>2</x:v>
      </x:c>
      <x:c r="B6" s="53" t="str">
        <x:v>Criterios de aceptación comprobados.</x:v>
      </x:c>
      <x:c r="C6" s="53" t="str">
        <x:v>Todos</x:v>
      </x:c>
      <x:c r="D6" s="53" t="str">
        <x:v>Caso de prueba, captura o revisión.</x:v>
      </x:c>
    </x:row>
    <x:row r="7">
      <x:c r="A7" s="53" t="n">
        <x:v>3</x:v>
      </x:c>
      <x:c r="B7" s="53" t="str">
        <x:v>Build/lint/pruebas pasan.</x:v>
      </x:c>
      <x:c r="C7" s="53" t="str">
        <x:v>Desarrollo</x:v>
      </x:c>
      <x:c r="D7" s="53" t="str">
        <x:v>Salida de CI o comando reproducible.</x:v>
      </x:c>
    </x:row>
    <x:row r="8">
      <x:c r="A8" s="53" t="n">
        <x:v>4</x:v>
      </x:c>
      <x:c r="B8" s="53" t="str">
        <x:v>Permisos y errores comprobados.</x:v>
      </x:c>
      <x:c r="C8" s="53" t="str">
        <x:v>Frontend/API</x:v>
      </x:c>
      <x:c r="D8" s="53" t="str">
        <x:v>Pruebas 401/403/errores.</x:v>
      </x:c>
    </x:row>
    <x:row r="9">
      <x:c r="A9" s="53" t="n">
        <x:v>5</x:v>
      </x:c>
      <x:c r="B9" s="53" t="str">
        <x:v>No contiene .env, credenciales, datos reales ni archivos temporales.</x:v>
      </x:c>
      <x:c r="C9" s="53" t="str">
        <x:v>Todos</x:v>
      </x:c>
      <x:c r="D9" s="53" t="str">
        <x:v>Revisión del diff.</x:v>
      </x:c>
    </x:row>
    <x:row r="10">
      <x:c r="A10" s="53" t="n">
        <x:v>6</x:v>
      </x:c>
      <x:c r="B10" s="53" t="str">
        <x:v>Commit es pequeño y describe una sola intención.</x:v>
      </x:c>
      <x:c r="C10" s="53" t="str">
        <x:v>Todos</x:v>
      </x:c>
      <x:c r="D10" s="53" t="str">
        <x:v>Mensaje Conventional Commits.</x:v>
      </x:c>
    </x:row>
    <x:row r="11">
      <x:c r="A11" s="53" t="n">
        <x:v>7</x:v>
      </x:c>
      <x:c r="B11" s="53" t="str">
        <x:v>Historia PBL aparece en PR, commit o matriz de trazabilidad.</x:v>
      </x:c>
      <x:c r="C11" s="53" t="str">
        <x:v>Todos</x:v>
      </x:c>
      <x:c r="D11" s="53" t="str">
        <x:v>ID PBL + SHA/URL.</x:v>
      </x:c>
    </x:row>
    <x:row r="12">
      <x:c r="A12" s="53" t="n">
        <x:v>8</x:v>
      </x:c>
      <x:c r="B12" s="53" t="str">
        <x:v>Diseño incluye estados normal, carga, vacío, error y responsive.</x:v>
      </x:c>
      <x:c r="C12" s="53" t="str">
        <x:v>Diseño</x:v>
      </x:c>
      <x:c r="D12" s="53" t="str">
        <x:v>Mockup/captura/checklist.</x:v>
      </x:c>
    </x:row>
    <x:row r="13">
      <x:c r="A13" s="53" t="n">
        <x:v>9</x:v>
      </x:c>
      <x:c r="B13" s="53" t="str">
        <x:v>Documentación coincide con rutas, variables y comandos reales.</x:v>
      </x:c>
      <x:c r="C13" s="53" t="str">
        <x:v>Documentación</x:v>
      </x:c>
      <x:c r="D13" s="53" t="str">
        <x:v>README/manual actualizado.</x:v>
      </x:c>
    </x:row>
    <x:row r="14">
      <x:c r="A14" s="54" t="n">
        <x:v>10</x:v>
      </x:c>
      <x:c r="B14" s="54" t="str">
        <x:v>No se crean commits vacíos ni se falsifica la autoría.</x:v>
      </x:c>
      <x:c r="C14" s="54" t="str">
        <x:v>Todos</x:v>
      </x:c>
      <x:c r="D14" s="54" t="str">
        <x:v>git show --stat con contenido real.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db354e9f5d64bc5"/>
  </x:tableParts>
</x:worksheet>
</file>